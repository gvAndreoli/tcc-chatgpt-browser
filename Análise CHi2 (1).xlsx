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86" documentId="11_681E65E988CB7F57291EAECC3AD7F1CC3E3D1259" xr6:coauthVersionLast="47" xr6:coauthVersionMax="47" xr10:uidLastSave="{0F6C78E8-ABC7-41C7-80CF-C5628243363A}"/>
  <bookViews>
    <workbookView xWindow="0" yWindow="0" windowWidth="0" windowHeight="0" firstSheet="1" activeTab="1" xr2:uid="{00000000-000D-0000-FFFF-FFFF00000000}"/>
  </bookViews>
  <sheets>
    <sheet name="Dados" sheetId="1" r:id="rId1"/>
    <sheet name="Planilha1" sheetId="29" r:id="rId2"/>
    <sheet name="ZS vs FS" sheetId="2" r:id="rId3"/>
    <sheet name="ZS vs FS (sem parcial)" sheetId="3" r:id="rId4"/>
    <sheet name="ZS vs FS (sem 6)" sheetId="4" r:id="rId5"/>
    <sheet name="FS vs COT" sheetId="5" r:id="rId6"/>
    <sheet name="FS vs COT (sem parcial)" sheetId="6" r:id="rId7"/>
    <sheet name="FS vs COT (sem 6)" sheetId="7" r:id="rId8"/>
    <sheet name="COT vs ZS" sheetId="8" r:id="rId9"/>
    <sheet name="ZS vs COT (sem parcial)" sheetId="9" r:id="rId10"/>
    <sheet name="ZS vs COT (sem 6)" sheetId="10" r:id="rId11"/>
    <sheet name="Questões (ZS)" sheetId="11" r:id="rId12"/>
    <sheet name="Questões (FS)" sheetId="12" r:id="rId13"/>
    <sheet name="Questões (COT)" sheetId="13" r:id="rId14"/>
    <sheet name="6 vs outras ZS" sheetId="14" r:id="rId15"/>
    <sheet name="6 vs outras FS" sheetId="15" r:id="rId16"/>
    <sheet name="6 vs outras COT" sheetId="16" r:id="rId17"/>
    <sheet name="4 vs outras ZS" sheetId="17" r:id="rId18"/>
    <sheet name="4 vs outras FS" sheetId="18" r:id="rId19"/>
    <sheet name="4 vs outras COT" sheetId="19" r:id="rId20"/>
    <sheet name="1 vs outras ZS" sheetId="20" r:id="rId21"/>
    <sheet name="1 vs outras FS" sheetId="21" r:id="rId22"/>
    <sheet name="1 vs outras COT" sheetId="22" r:id="rId23"/>
    <sheet name="1 vs outras ZS s6" sheetId="23" r:id="rId24"/>
    <sheet name="1 vs outras FS s6" sheetId="24" r:id="rId25"/>
    <sheet name="1 vs outras COT s6" sheetId="25" r:id="rId26"/>
    <sheet name="4 vs outras ZS s6" sheetId="26" r:id="rId27"/>
    <sheet name="4 vs outras FS s6" sheetId="27" r:id="rId28"/>
    <sheet name="4 vs outras COT s6" sheetId="28" r:id="rId29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2" roundtripDataChecksum="9ng+runPxY7TlrQrCG+ifZGwSNrDq3XGOkt5+31znTk="/>
    </ext>
  </extLst>
</workbook>
</file>

<file path=xl/calcChain.xml><?xml version="1.0" encoding="utf-8"?>
<calcChain xmlns="http://schemas.openxmlformats.org/spreadsheetml/2006/main">
  <c r="B16" i="13" l="1"/>
  <c r="C16" i="13"/>
  <c r="D16" i="13"/>
  <c r="B17" i="13"/>
  <c r="C17" i="13"/>
  <c r="D17" i="13"/>
  <c r="B16" i="12"/>
  <c r="C16" i="12"/>
  <c r="D16" i="12"/>
  <c r="B17" i="12"/>
  <c r="C17" i="12"/>
  <c r="D17" i="12"/>
  <c r="B16" i="11"/>
  <c r="C16" i="11"/>
  <c r="D16" i="11"/>
  <c r="B17" i="11"/>
  <c r="C17" i="11"/>
  <c r="D17" i="11"/>
  <c r="B8" i="10"/>
  <c r="C8" i="10"/>
  <c r="D8" i="10"/>
  <c r="B9" i="10"/>
  <c r="C9" i="10"/>
  <c r="D9" i="10"/>
  <c r="B8" i="9"/>
  <c r="C8" i="9"/>
  <c r="B9" i="9"/>
  <c r="C9" i="9"/>
  <c r="B8" i="8"/>
  <c r="C8" i="8"/>
  <c r="D8" i="8"/>
  <c r="B9" i="8"/>
  <c r="C9" i="8"/>
  <c r="D9" i="8"/>
  <c r="B8" i="7"/>
  <c r="C8" i="7"/>
  <c r="D8" i="7"/>
  <c r="B9" i="7"/>
  <c r="C9" i="7"/>
  <c r="D9" i="7"/>
  <c r="B8" i="6"/>
  <c r="C8" i="6"/>
  <c r="B9" i="6"/>
  <c r="C9" i="6"/>
  <c r="B8" i="4"/>
  <c r="C8" i="4"/>
  <c r="D8" i="4"/>
  <c r="B9" i="4"/>
  <c r="C9" i="4"/>
  <c r="D9" i="4"/>
  <c r="B8" i="3"/>
  <c r="C8" i="3"/>
  <c r="B9" i="3"/>
  <c r="C9" i="3"/>
  <c r="K33" i="1"/>
  <c r="C35" i="1"/>
  <c r="Q15" i="1"/>
  <c r="M15" i="1"/>
  <c r="E3" i="28"/>
  <c r="E2" i="28"/>
  <c r="E3" i="27"/>
  <c r="E2" i="27"/>
  <c r="E3" i="26"/>
  <c r="E2" i="26"/>
  <c r="E3" i="25"/>
  <c r="E2" i="25"/>
  <c r="E3" i="24"/>
  <c r="E2" i="24"/>
  <c r="E3" i="23"/>
  <c r="E2" i="23"/>
  <c r="E3" i="22"/>
  <c r="E2" i="22"/>
  <c r="E3" i="21"/>
  <c r="E2" i="21"/>
  <c r="E3" i="20"/>
  <c r="E2" i="20"/>
  <c r="E3" i="19"/>
  <c r="E2" i="19"/>
  <c r="E3" i="18"/>
  <c r="E2" i="18"/>
  <c r="E3" i="17"/>
  <c r="E2" i="17"/>
  <c r="E3" i="16"/>
  <c r="E2" i="16"/>
  <c r="E3" i="15"/>
  <c r="E2" i="15"/>
  <c r="E3" i="14"/>
  <c r="E2" i="14"/>
  <c r="E7" i="13"/>
  <c r="E6" i="13"/>
  <c r="E5" i="13"/>
  <c r="E4" i="13"/>
  <c r="E3" i="13"/>
  <c r="E2" i="13"/>
  <c r="E7" i="12"/>
  <c r="E6" i="12"/>
  <c r="E5" i="12"/>
  <c r="E4" i="12"/>
  <c r="E3" i="12"/>
  <c r="E2" i="12"/>
  <c r="E7" i="11"/>
  <c r="E6" i="11"/>
  <c r="E5" i="11"/>
  <c r="E4" i="11"/>
  <c r="E3" i="11"/>
  <c r="E2" i="11"/>
  <c r="E3" i="10"/>
  <c r="E2" i="10"/>
  <c r="D3" i="9"/>
  <c r="D2" i="9"/>
  <c r="E3" i="8"/>
  <c r="E2" i="8"/>
  <c r="E3" i="7"/>
  <c r="E2" i="7"/>
  <c r="D3" i="6"/>
  <c r="D2" i="6"/>
  <c r="E3" i="5"/>
  <c r="E2" i="5"/>
  <c r="E3" i="4"/>
  <c r="E2" i="4"/>
  <c r="D3" i="3"/>
  <c r="D2" i="3"/>
  <c r="E3" i="2"/>
  <c r="E2" i="2"/>
  <c r="U13" i="1"/>
  <c r="T13" i="1"/>
  <c r="S13" i="1"/>
  <c r="R13" i="1"/>
  <c r="Q13" i="1"/>
  <c r="P13" i="1"/>
  <c r="O13" i="1"/>
  <c r="N13" i="1"/>
  <c r="M13" i="1"/>
  <c r="U10" i="1"/>
  <c r="T10" i="1"/>
  <c r="S10" i="1"/>
  <c r="R10" i="1"/>
  <c r="Q10" i="1"/>
  <c r="P10" i="1"/>
  <c r="O10" i="1"/>
  <c r="N10" i="1"/>
  <c r="M10" i="1"/>
  <c r="D5" i="2" l="1"/>
  <c r="C5" i="2"/>
  <c r="B5" i="2"/>
  <c r="D6" i="2"/>
  <c r="C6" i="2"/>
  <c r="B6" i="2"/>
  <c r="C5" i="3"/>
  <c r="B5" i="3"/>
  <c r="B10" i="3" s="1"/>
  <c r="B12" i="3" s="1"/>
  <c r="C6" i="3"/>
  <c r="B6" i="3"/>
  <c r="D5" i="4"/>
  <c r="C5" i="4"/>
  <c r="B5" i="4"/>
  <c r="B10" i="4" s="1"/>
  <c r="B12" i="4" s="1"/>
  <c r="D6" i="4"/>
  <c r="C6" i="4"/>
  <c r="B6" i="4"/>
  <c r="D5" i="5"/>
  <c r="C5" i="5"/>
  <c r="B5" i="5"/>
  <c r="D6" i="5"/>
  <c r="C6" i="5"/>
  <c r="B6" i="5"/>
  <c r="C5" i="6"/>
  <c r="B5" i="6"/>
  <c r="B10" i="6" s="1"/>
  <c r="B12" i="6" s="1"/>
  <c r="C6" i="6"/>
  <c r="B6" i="6"/>
  <c r="D5" i="7"/>
  <c r="C5" i="7"/>
  <c r="B5" i="7"/>
  <c r="B10" i="7" s="1"/>
  <c r="B12" i="7" s="1"/>
  <c r="D6" i="7"/>
  <c r="C6" i="7"/>
  <c r="B6" i="7"/>
  <c r="D5" i="8"/>
  <c r="C5" i="8"/>
  <c r="B5" i="8"/>
  <c r="B10" i="8" s="1"/>
  <c r="B12" i="8" s="1"/>
  <c r="D6" i="8"/>
  <c r="C6" i="8"/>
  <c r="B6" i="8"/>
  <c r="C5" i="9"/>
  <c r="B5" i="9"/>
  <c r="B10" i="9" s="1"/>
  <c r="B12" i="9" s="1"/>
  <c r="C6" i="9"/>
  <c r="B6" i="9"/>
  <c r="D5" i="10"/>
  <c r="C5" i="10"/>
  <c r="B5" i="10"/>
  <c r="B10" i="10" s="1"/>
  <c r="B12" i="10" s="1"/>
  <c r="D6" i="10"/>
  <c r="C6" i="10"/>
  <c r="B6" i="10"/>
  <c r="D9" i="11"/>
  <c r="C9" i="11"/>
  <c r="B9" i="11"/>
  <c r="B18" i="11" s="1"/>
  <c r="B20" i="11" s="1"/>
  <c r="D10" i="11"/>
  <c r="C10" i="11"/>
  <c r="B10" i="11"/>
  <c r="D11" i="11"/>
  <c r="C11" i="11"/>
  <c r="B11" i="11"/>
  <c r="D12" i="11"/>
  <c r="C12" i="11"/>
  <c r="B12" i="11"/>
  <c r="D13" i="11"/>
  <c r="C13" i="11"/>
  <c r="B13" i="11"/>
  <c r="D14" i="11"/>
  <c r="C14" i="11"/>
  <c r="B14" i="11"/>
  <c r="D9" i="12"/>
  <c r="C9" i="12"/>
  <c r="B9" i="12"/>
  <c r="B18" i="12" s="1"/>
  <c r="B20" i="12" s="1"/>
  <c r="D10" i="12"/>
  <c r="C10" i="12"/>
  <c r="B10" i="12"/>
  <c r="D11" i="12"/>
  <c r="C11" i="12"/>
  <c r="B11" i="12"/>
  <c r="D12" i="12"/>
  <c r="C12" i="12"/>
  <c r="B12" i="12"/>
  <c r="D13" i="12"/>
  <c r="C13" i="12"/>
  <c r="B13" i="12"/>
  <c r="D14" i="12"/>
  <c r="C14" i="12"/>
  <c r="B14" i="12"/>
  <c r="D9" i="13"/>
  <c r="C9" i="13"/>
  <c r="B9" i="13"/>
  <c r="B18" i="13" s="1"/>
  <c r="B20" i="13" s="1"/>
  <c r="D10" i="13"/>
  <c r="C10" i="13"/>
  <c r="B10" i="13"/>
  <c r="D11" i="13"/>
  <c r="C11" i="13"/>
  <c r="B11" i="13"/>
  <c r="D12" i="13"/>
  <c r="C12" i="13"/>
  <c r="B12" i="13"/>
  <c r="D13" i="13"/>
  <c r="C13" i="13"/>
  <c r="B13" i="13"/>
  <c r="D14" i="13"/>
  <c r="C14" i="13"/>
  <c r="B14" i="13"/>
  <c r="D5" i="14"/>
  <c r="C5" i="14"/>
  <c r="B5" i="14"/>
  <c r="D6" i="14"/>
  <c r="C6" i="14"/>
  <c r="B6" i="14"/>
  <c r="D5" i="15"/>
  <c r="C5" i="15"/>
  <c r="B5" i="15"/>
  <c r="D6" i="15"/>
  <c r="C6" i="15"/>
  <c r="B6" i="15"/>
  <c r="D5" i="16"/>
  <c r="C5" i="16"/>
  <c r="B5" i="16"/>
  <c r="D6" i="16"/>
  <c r="C6" i="16"/>
  <c r="B6" i="16"/>
  <c r="D5" i="17"/>
  <c r="C5" i="17"/>
  <c r="B5" i="17"/>
  <c r="D6" i="17"/>
  <c r="C6" i="17"/>
  <c r="B6" i="17"/>
  <c r="D5" i="18"/>
  <c r="C5" i="18"/>
  <c r="B5" i="18"/>
  <c r="D6" i="18"/>
  <c r="C6" i="18"/>
  <c r="B6" i="18"/>
  <c r="D5" i="19"/>
  <c r="C5" i="19"/>
  <c r="B5" i="19"/>
  <c r="D6" i="19"/>
  <c r="C6" i="19"/>
  <c r="B6" i="19"/>
  <c r="D5" i="20"/>
  <c r="C5" i="20"/>
  <c r="B5" i="20"/>
  <c r="D6" i="20"/>
  <c r="C6" i="20"/>
  <c r="B6" i="20"/>
  <c r="D5" i="21"/>
  <c r="C5" i="21"/>
  <c r="B5" i="21"/>
  <c r="D6" i="21"/>
  <c r="C6" i="21"/>
  <c r="B6" i="21"/>
  <c r="D5" i="22"/>
  <c r="C5" i="22"/>
  <c r="B5" i="22"/>
  <c r="D6" i="22"/>
  <c r="C6" i="22"/>
  <c r="B6" i="22"/>
  <c r="D5" i="23"/>
  <c r="C5" i="23"/>
  <c r="B5" i="23"/>
  <c r="D6" i="23"/>
  <c r="C6" i="23"/>
  <c r="B6" i="23"/>
  <c r="D5" i="24"/>
  <c r="C5" i="24"/>
  <c r="B5" i="24"/>
  <c r="D6" i="24"/>
  <c r="C6" i="24"/>
  <c r="B6" i="24"/>
  <c r="D5" i="25"/>
  <c r="C5" i="25"/>
  <c r="B5" i="25"/>
  <c r="D6" i="25"/>
  <c r="C6" i="25"/>
  <c r="B6" i="25"/>
  <c r="D5" i="26"/>
  <c r="C5" i="26"/>
  <c r="B5" i="26"/>
  <c r="D6" i="26"/>
  <c r="C6" i="26"/>
  <c r="B6" i="26"/>
  <c r="D5" i="27"/>
  <c r="C5" i="27"/>
  <c r="B5" i="27"/>
  <c r="D6" i="27"/>
  <c r="C6" i="27"/>
  <c r="B6" i="27"/>
  <c r="D5" i="28"/>
  <c r="C5" i="28"/>
  <c r="B5" i="28"/>
  <c r="D6" i="28"/>
  <c r="C6" i="28"/>
  <c r="B6" i="28"/>
  <c r="B9" i="28"/>
  <c r="B9" i="27"/>
  <c r="B9" i="26"/>
  <c r="B9" i="25"/>
  <c r="B9" i="24"/>
  <c r="B9" i="23"/>
  <c r="B9" i="22"/>
  <c r="B9" i="21"/>
  <c r="B9" i="20"/>
  <c r="B9" i="19"/>
  <c r="B9" i="18"/>
  <c r="B9" i="17"/>
  <c r="B9" i="16"/>
  <c r="B9" i="15"/>
  <c r="B9" i="14"/>
  <c r="B22" i="13"/>
  <c r="B22" i="12"/>
  <c r="B22" i="11"/>
  <c r="B14" i="10"/>
  <c r="B14" i="9"/>
  <c r="B14" i="8"/>
  <c r="B14" i="7"/>
  <c r="B14" i="6"/>
  <c r="B9" i="5"/>
  <c r="B14" i="4"/>
  <c r="B14" i="3"/>
  <c r="B9" i="2"/>
</calcChain>
</file>

<file path=xl/sharedStrings.xml><?xml version="1.0" encoding="utf-8"?>
<sst xmlns="http://schemas.openxmlformats.org/spreadsheetml/2006/main" count="418" uniqueCount="75">
  <si>
    <t>Zero Shot</t>
  </si>
  <si>
    <t>Few Shot</t>
  </si>
  <si>
    <t>COT</t>
  </si>
  <si>
    <t>Grupo</t>
  </si>
  <si>
    <t>Acertos</t>
  </si>
  <si>
    <t>Parcial</t>
  </si>
  <si>
    <t>Alucinação</t>
  </si>
  <si>
    <t>Pergunta</t>
  </si>
  <si>
    <t>ZS vs FS</t>
  </si>
  <si>
    <t>FS vs COT</t>
  </si>
  <si>
    <t>COT vs ZS</t>
  </si>
  <si>
    <t>ZS vs FS (sem 6)</t>
  </si>
  <si>
    <t>Resultado</t>
  </si>
  <si>
    <t>FS vs COT (sem 6)</t>
  </si>
  <si>
    <t>COT vs ZS (sem 6)</t>
  </si>
  <si>
    <t>Comparar entre as estratégias de prompt</t>
  </si>
  <si>
    <t>Comparar entre as estratégias sem a questão 6</t>
  </si>
  <si>
    <t>Comparar entre as questões para cada estratégia</t>
  </si>
  <si>
    <t>Comparar apenas alucinações para cada caso anterior</t>
  </si>
  <si>
    <t>Pq 5%?</t>
  </si>
  <si>
    <t>nivel de significancia = alpha</t>
  </si>
  <si>
    <t>ZS vs FS (s/ parcial)</t>
  </si>
  <si>
    <t>6 da muitos erros</t>
  </si>
  <si>
    <t>pq n tinha a opção de não responder a pergunta forcando uma resposta</t>
  </si>
  <si>
    <t>propor que alguem investigue o pq alucina mais nessa questão</t>
  </si>
  <si>
    <t>FS vs COT (s/ parcial)</t>
  </si>
  <si>
    <t>cot performou pior que o few</t>
  </si>
  <si>
    <t>forcamos ele a pensar demais levando ele a alucinar</t>
  </si>
  <si>
    <t>no contexto de extracao de dados fazer ele pensar demais ao extrair dados pode leva lo a alucinar</t>
  </si>
  <si>
    <t>COT vs ZS (s/ parcial)</t>
  </si>
  <si>
    <t>melhor performance = few shot</t>
  </si>
  <si>
    <t>menor n de alucinações</t>
  </si>
  <si>
    <t>quase o mesmo numero de corretos</t>
  </si>
  <si>
    <t>Questões ZS</t>
  </si>
  <si>
    <t>Questões FS</t>
  </si>
  <si>
    <t>baixa porcentagem de diferença na performance de cada tp de prompt</t>
  </si>
  <si>
    <t>Questões COT</t>
  </si>
  <si>
    <t>6 vs outras ZS</t>
  </si>
  <si>
    <t>cot na 6;4;1 tem diferenca relevante, todas sendo questões importantes na extração de dados de artigos</t>
  </si>
  <si>
    <t>dar mt instrução pode ser ruim neste contexto</t>
  </si>
  <si>
    <t>6 vs outras FS</t>
  </si>
  <si>
    <t>6 vs outras COT</t>
  </si>
  <si>
    <t xml:space="preserve">desconsiderar questão 6 na analise </t>
  </si>
  <si>
    <t>4 vs outras ZS</t>
  </si>
  <si>
    <t>4 vs outras FS</t>
  </si>
  <si>
    <t>questao 6 afeta apenas o prompt cot</t>
  </si>
  <si>
    <t>4 vs outras COT</t>
  </si>
  <si>
    <t>1 vs outras ZS</t>
  </si>
  <si>
    <t>1 vs outras FS</t>
  </si>
  <si>
    <t>1 vs outras COT</t>
  </si>
  <si>
    <t>1 vs outras ZS s/6</t>
  </si>
  <si>
    <t>1 vs outras FS s/6</t>
  </si>
  <si>
    <t>1 vs outras COT s/6</t>
  </si>
  <si>
    <t>4 vs outras ZS s/6</t>
  </si>
  <si>
    <t>4 vs outras FS  s/6</t>
  </si>
  <si>
    <t>4 vs outras COT  s/6</t>
  </si>
  <si>
    <t>(continua)</t>
  </si>
  <si>
    <t>Observado</t>
  </si>
  <si>
    <t>Acerto</t>
  </si>
  <si>
    <t>Total</t>
  </si>
  <si>
    <t>Zero</t>
  </si>
  <si>
    <t>Few</t>
  </si>
  <si>
    <t>Esperado</t>
  </si>
  <si>
    <t>p-valor</t>
  </si>
  <si>
    <t>H0: Os resultados não dependem do tratamento dado.</t>
  </si>
  <si>
    <t>&lt; 5% ------&gt;</t>
  </si>
  <si>
    <t>HA: Os resultados são dependentes do tratamento dado.</t>
  </si>
  <si>
    <t>Estatística</t>
  </si>
  <si>
    <t>Chain</t>
  </si>
  <si>
    <t>H0: Não há evidências de que os resultados dependam do tratamento dado.</t>
  </si>
  <si>
    <t>HA: Há evidências de que os resultados sejam dependentes do tratamento dado.</t>
  </si>
  <si>
    <t>Observado ZS</t>
  </si>
  <si>
    <t>Observado FS</t>
  </si>
  <si>
    <t>outras</t>
  </si>
  <si>
    <t>Observado COT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</si>
</sst>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0%"/>
    <numFmt numFmtId="165" formatCode="0.000000%"/>
    <numFmt numFmtId="166" formatCode="0.000%"/>
    <numFmt numFmtId="167" formatCode="0.00000%"/>
    <numFmt numFmtId="168" formatCode="0.000"/>
  </numFmts>
  <fonts count="16">
    <font>
      <sz val="12"/>
      <color theme="1"/>
      <name val="Calibri"/>
      <scheme val="minor"/>
    </font>
    <font>
      <sz val="11"/>
      <color rgb="FF000000"/>
      <name val="&quot;Aptos Narrow&quot;"/>
    </font>
    <font>
      <sz val="12"/>
      <name val="Calibri"/>
    </font>
    <font>
      <sz val="11"/>
      <color rgb="FF000000"/>
      <name val="Arial"/>
    </font>
    <font>
      <sz val="12"/>
      <color theme="1"/>
      <name val="Calibri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scheme val="minor"/>
    </font>
    <font>
      <sz val="11"/>
      <color rgb="FF222222"/>
      <name val="Calibri"/>
      <scheme val="minor"/>
    </font>
    <font>
      <sz val="12"/>
      <color rgb="FFFFFFFF"/>
      <name val="Calibri"/>
      <scheme val="minor"/>
    </font>
    <font>
      <b/>
      <sz val="12"/>
      <color rgb="FFFF0000"/>
      <name val="Calibri"/>
      <scheme val="minor"/>
    </font>
    <font>
      <b/>
      <sz val="12"/>
      <color rgb="FFFFFFFF"/>
      <name val="Calibri"/>
      <scheme val="minor"/>
    </font>
    <font>
      <sz val="12"/>
      <color rgb="FF3266D5"/>
      <name val="Inconsolata"/>
    </font>
    <font>
      <b/>
      <sz val="11"/>
      <color rgb="FFFF0000"/>
      <name val="&quot;Aptos Narrow&quot;"/>
    </font>
    <font>
      <sz val="12"/>
      <color theme="1"/>
      <name val="Calibri"/>
    </font>
    <font>
      <sz val="12"/>
      <color theme="1"/>
      <name val="Arial"/>
    </font>
    <font>
      <sz val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3" fillId="0" borderId="0" xfId="0" applyFont="1"/>
    <xf numFmtId="0" fontId="1" fillId="2" borderId="5" xfId="0" applyFont="1" applyFill="1" applyBorder="1" applyAlignment="1">
      <alignment horizontal="right"/>
    </xf>
    <xf numFmtId="0" fontId="1" fillId="2" borderId="0" xfId="0" applyFont="1" applyFill="1" applyAlignment="1">
      <alignment horizontal="right"/>
    </xf>
    <xf numFmtId="0" fontId="4" fillId="0" borderId="0" xfId="0" applyFont="1"/>
    <xf numFmtId="164" fontId="5" fillId="0" borderId="0" xfId="0" applyNumberFormat="1" applyFont="1"/>
    <xf numFmtId="0" fontId="4" fillId="3" borderId="0" xfId="0" applyFont="1" applyFill="1"/>
    <xf numFmtId="164" fontId="5" fillId="2" borderId="0" xfId="0" applyNumberFormat="1" applyFont="1" applyFill="1"/>
    <xf numFmtId="164" fontId="6" fillId="0" borderId="0" xfId="0" applyNumberFormat="1" applyFont="1"/>
    <xf numFmtId="0" fontId="4" fillId="2" borderId="0" xfId="0" applyFont="1" applyFill="1"/>
    <xf numFmtId="165" fontId="6" fillId="0" borderId="0" xfId="0" applyNumberFormat="1" applyFont="1"/>
    <xf numFmtId="166" fontId="6" fillId="0" borderId="0" xfId="0" applyNumberFormat="1" applyFont="1"/>
    <xf numFmtId="0" fontId="7" fillId="4" borderId="0" xfId="0" applyFont="1" applyFill="1"/>
    <xf numFmtId="0" fontId="8" fillId="5" borderId="4" xfId="0" applyFont="1" applyFill="1" applyBorder="1"/>
    <xf numFmtId="0" fontId="6" fillId="0" borderId="4" xfId="0" applyFont="1" applyBorder="1" applyAlignment="1">
      <alignment horizontal="center"/>
    </xf>
    <xf numFmtId="0" fontId="6" fillId="0" borderId="4" xfId="0" applyFont="1" applyBorder="1"/>
    <xf numFmtId="0" fontId="4" fillId="0" borderId="4" xfId="0" applyFont="1" applyBorder="1"/>
    <xf numFmtId="0" fontId="9" fillId="0" borderId="4" xfId="0" applyFont="1" applyBorder="1"/>
    <xf numFmtId="168" fontId="4" fillId="0" borderId="4" xfId="0" applyNumberFormat="1" applyFont="1" applyBorder="1"/>
    <xf numFmtId="0" fontId="6" fillId="0" borderId="0" xfId="0" applyFont="1"/>
    <xf numFmtId="164" fontId="4" fillId="0" borderId="0" xfId="0" applyNumberFormat="1" applyFont="1"/>
    <xf numFmtId="0" fontId="6" fillId="0" borderId="0" xfId="0" applyFont="1" applyAlignment="1">
      <alignment horizontal="right"/>
    </xf>
    <xf numFmtId="10" fontId="11" fillId="2" borderId="0" xfId="0" applyNumberFormat="1" applyFont="1" applyFill="1"/>
    <xf numFmtId="0" fontId="12" fillId="0" borderId="0" xfId="0" applyFont="1" applyAlignment="1">
      <alignment horizontal="right"/>
    </xf>
    <xf numFmtId="0" fontId="3" fillId="2" borderId="0" xfId="0" applyFont="1" applyFill="1" applyAlignment="1">
      <alignment horizontal="right"/>
    </xf>
    <xf numFmtId="168" fontId="13" fillId="0" borderId="4" xfId="0" applyNumberFormat="1" applyFont="1" applyBorder="1" applyAlignment="1">
      <alignment horizontal="right"/>
    </xf>
    <xf numFmtId="10" fontId="4" fillId="0" borderId="0" xfId="0" applyNumberFormat="1" applyFont="1"/>
    <xf numFmtId="0" fontId="3" fillId="0" borderId="10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4" fillId="0" borderId="4" xfId="0" applyNumberFormat="1" applyFont="1" applyBorder="1"/>
    <xf numFmtId="43" fontId="4" fillId="0" borderId="0" xfId="0" applyNumberFormat="1" applyFont="1"/>
    <xf numFmtId="43" fontId="0" fillId="0" borderId="0" xfId="0" applyNumberFormat="1"/>
    <xf numFmtId="165" fontId="6" fillId="6" borderId="0" xfId="0" applyNumberFormat="1" applyFont="1" applyFill="1"/>
    <xf numFmtId="167" fontId="6" fillId="6" borderId="0" xfId="0" applyNumberFormat="1" applyFont="1" applyFill="1"/>
    <xf numFmtId="164" fontId="5" fillId="6" borderId="0" xfId="0" applyNumberFormat="1" applyFont="1" applyFill="1"/>
    <xf numFmtId="164" fontId="6" fillId="6" borderId="0" xfId="0" applyNumberFormat="1" applyFont="1" applyFill="1"/>
    <xf numFmtId="10" fontId="6" fillId="6" borderId="0" xfId="0" applyNumberFormat="1" applyFont="1" applyFill="1"/>
    <xf numFmtId="0" fontId="14" fillId="0" borderId="0" xfId="0" applyFont="1"/>
    <xf numFmtId="0" fontId="3" fillId="0" borderId="12" xfId="0" applyFont="1" applyBorder="1"/>
    <xf numFmtId="0" fontId="3" fillId="0" borderId="2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5" borderId="11" xfId="0" applyFont="1" applyFill="1" applyBorder="1" applyAlignment="1">
      <alignment vertical="center"/>
    </xf>
    <xf numFmtId="0" fontId="2" fillId="0" borderId="2" xfId="0" applyFont="1" applyBorder="1" applyAlignment="1"/>
    <xf numFmtId="0" fontId="15" fillId="0" borderId="12" xfId="0" applyFont="1" applyBorder="1" applyAlignment="1"/>
    <xf numFmtId="0" fontId="2" fillId="0" borderId="3" xfId="0" applyFont="1" applyBorder="1" applyAlignment="1"/>
    <xf numFmtId="0" fontId="2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9"/>
  <sheetViews>
    <sheetView workbookViewId="0">
      <selection activeCell="J33" sqref="A1:J33"/>
    </sheetView>
  </sheetViews>
  <sheetFormatPr defaultColWidth="11.25" defaultRowHeight="15" customHeight="1"/>
  <cols>
    <col min="1" max="1" width="17.125" customWidth="1"/>
    <col min="16" max="16" width="15.5" bestFit="1" customWidth="1"/>
  </cols>
  <sheetData>
    <row r="1" spans="1:21">
      <c r="A1" s="1"/>
      <c r="B1" s="55" t="s">
        <v>0</v>
      </c>
      <c r="C1" s="58"/>
      <c r="D1" s="58"/>
      <c r="E1" s="55" t="s">
        <v>1</v>
      </c>
      <c r="F1" s="58"/>
      <c r="G1" s="58"/>
      <c r="H1" s="55" t="s">
        <v>2</v>
      </c>
      <c r="I1" s="58"/>
      <c r="J1" s="58"/>
      <c r="K1" s="1"/>
      <c r="L1" s="1"/>
      <c r="M1" s="55" t="s">
        <v>0</v>
      </c>
      <c r="N1" s="58"/>
      <c r="O1" s="58"/>
      <c r="P1" s="55" t="s">
        <v>1</v>
      </c>
      <c r="Q1" s="58"/>
      <c r="R1" s="58"/>
      <c r="S1" s="55" t="s">
        <v>2</v>
      </c>
      <c r="T1" s="58"/>
      <c r="U1" s="58"/>
    </row>
    <row r="2" spans="1:21">
      <c r="A2" s="2" t="s">
        <v>3</v>
      </c>
      <c r="B2" s="3" t="s">
        <v>4</v>
      </c>
      <c r="C2" s="4" t="s">
        <v>5</v>
      </c>
      <c r="D2" s="3" t="s">
        <v>6</v>
      </c>
      <c r="E2" s="3" t="s">
        <v>4</v>
      </c>
      <c r="F2" s="4" t="s">
        <v>5</v>
      </c>
      <c r="G2" s="3" t="s">
        <v>6</v>
      </c>
      <c r="H2" s="3" t="s">
        <v>4</v>
      </c>
      <c r="I2" s="4" t="s">
        <v>5</v>
      </c>
      <c r="J2" s="3" t="s">
        <v>6</v>
      </c>
      <c r="K2" s="1"/>
      <c r="L2" s="2" t="s">
        <v>7</v>
      </c>
      <c r="M2" s="3" t="s">
        <v>4</v>
      </c>
      <c r="N2" s="4" t="s">
        <v>5</v>
      </c>
      <c r="O2" s="3" t="s">
        <v>6</v>
      </c>
      <c r="P2" s="3" t="s">
        <v>4</v>
      </c>
      <c r="Q2" s="4" t="s">
        <v>5</v>
      </c>
      <c r="R2" s="3" t="s">
        <v>6</v>
      </c>
      <c r="S2" s="3" t="s">
        <v>4</v>
      </c>
      <c r="T2" s="4" t="s">
        <v>5</v>
      </c>
      <c r="U2" s="3" t="s">
        <v>6</v>
      </c>
    </row>
    <row r="3" spans="1:21">
      <c r="A3" s="5">
        <v>1</v>
      </c>
      <c r="B3" s="5">
        <v>17</v>
      </c>
      <c r="C3" s="6">
        <v>1</v>
      </c>
      <c r="D3" s="6">
        <v>3</v>
      </c>
      <c r="E3" s="5">
        <v>15</v>
      </c>
      <c r="F3" s="6">
        <v>2</v>
      </c>
      <c r="G3" s="6">
        <v>4</v>
      </c>
      <c r="H3" s="5">
        <v>11</v>
      </c>
      <c r="I3" s="6">
        <v>6</v>
      </c>
      <c r="J3" s="7">
        <v>4</v>
      </c>
      <c r="K3" s="1"/>
      <c r="L3" s="5">
        <v>1</v>
      </c>
      <c r="M3" s="5">
        <v>128</v>
      </c>
      <c r="N3" s="6">
        <v>38</v>
      </c>
      <c r="O3" s="6">
        <v>14</v>
      </c>
      <c r="P3" s="5">
        <v>130</v>
      </c>
      <c r="Q3" s="6">
        <v>43</v>
      </c>
      <c r="R3" s="6">
        <v>7</v>
      </c>
      <c r="S3" s="5">
        <v>112</v>
      </c>
      <c r="T3" s="6">
        <v>61</v>
      </c>
      <c r="U3" s="7">
        <v>7</v>
      </c>
    </row>
    <row r="4" spans="1:21">
      <c r="A4" s="5">
        <v>2</v>
      </c>
      <c r="B4" s="5">
        <v>19</v>
      </c>
      <c r="C4" s="6">
        <v>1</v>
      </c>
      <c r="D4" s="6">
        <v>1</v>
      </c>
      <c r="E4" s="5">
        <v>15</v>
      </c>
      <c r="F4" s="6">
        <v>6</v>
      </c>
      <c r="G4" s="6">
        <v>0</v>
      </c>
      <c r="H4" s="5">
        <v>11</v>
      </c>
      <c r="I4" s="6">
        <v>5</v>
      </c>
      <c r="J4" s="7">
        <v>5</v>
      </c>
      <c r="K4" s="1"/>
      <c r="L4" s="5">
        <v>2</v>
      </c>
      <c r="M4" s="5">
        <v>65</v>
      </c>
      <c r="N4" s="6">
        <v>15</v>
      </c>
      <c r="O4" s="6">
        <v>10</v>
      </c>
      <c r="P4" s="5">
        <v>63</v>
      </c>
      <c r="Q4" s="6">
        <v>22</v>
      </c>
      <c r="R4" s="6">
        <v>5</v>
      </c>
      <c r="S4" s="5">
        <v>68</v>
      </c>
      <c r="T4" s="6">
        <v>8</v>
      </c>
      <c r="U4" s="7">
        <v>14</v>
      </c>
    </row>
    <row r="5" spans="1:21">
      <c r="A5" s="8">
        <v>3</v>
      </c>
      <c r="B5" s="5">
        <v>17</v>
      </c>
      <c r="C5" s="6">
        <v>3</v>
      </c>
      <c r="D5" s="6">
        <v>1</v>
      </c>
      <c r="E5" s="5">
        <v>12</v>
      </c>
      <c r="F5" s="6">
        <v>7</v>
      </c>
      <c r="G5" s="6">
        <v>2</v>
      </c>
      <c r="H5" s="5">
        <v>13</v>
      </c>
      <c r="I5" s="6">
        <v>6</v>
      </c>
      <c r="J5" s="7">
        <v>2</v>
      </c>
      <c r="K5" s="1"/>
      <c r="L5" s="5">
        <v>3</v>
      </c>
      <c r="M5" s="5">
        <v>72</v>
      </c>
      <c r="N5" s="6">
        <v>14</v>
      </c>
      <c r="O5" s="6">
        <v>4</v>
      </c>
      <c r="P5" s="5">
        <v>67</v>
      </c>
      <c r="Q5" s="6">
        <v>20</v>
      </c>
      <c r="R5" s="6">
        <v>3</v>
      </c>
      <c r="S5" s="5">
        <v>55</v>
      </c>
      <c r="T5" s="6">
        <v>31</v>
      </c>
      <c r="U5" s="7">
        <v>4</v>
      </c>
    </row>
    <row r="6" spans="1:21">
      <c r="A6" s="8">
        <v>4</v>
      </c>
      <c r="B6" s="5">
        <v>12</v>
      </c>
      <c r="C6" s="6">
        <v>8</v>
      </c>
      <c r="D6" s="6">
        <v>1</v>
      </c>
      <c r="E6" s="5">
        <v>14</v>
      </c>
      <c r="F6" s="6">
        <v>6</v>
      </c>
      <c r="G6" s="6">
        <v>1</v>
      </c>
      <c r="H6" s="5">
        <v>17</v>
      </c>
      <c r="I6" s="6">
        <v>3</v>
      </c>
      <c r="J6" s="7">
        <v>1</v>
      </c>
      <c r="K6" s="1"/>
      <c r="L6" s="5">
        <v>4</v>
      </c>
      <c r="M6" s="5">
        <v>67</v>
      </c>
      <c r="N6" s="6">
        <v>18</v>
      </c>
      <c r="O6" s="6">
        <v>5</v>
      </c>
      <c r="P6" s="5">
        <v>68</v>
      </c>
      <c r="Q6" s="6">
        <v>20</v>
      </c>
      <c r="R6" s="6">
        <v>2</v>
      </c>
      <c r="S6" s="9">
        <v>73</v>
      </c>
      <c r="T6" s="10">
        <v>16</v>
      </c>
      <c r="U6" s="7">
        <v>1</v>
      </c>
    </row>
    <row r="7" spans="1:21">
      <c r="A7" s="8">
        <v>5</v>
      </c>
      <c r="B7" s="5">
        <v>18</v>
      </c>
      <c r="C7" s="6">
        <v>0</v>
      </c>
      <c r="D7" s="6">
        <v>3</v>
      </c>
      <c r="E7" s="5">
        <v>17</v>
      </c>
      <c r="F7" s="6">
        <v>3</v>
      </c>
      <c r="G7" s="6">
        <v>1</v>
      </c>
      <c r="H7" s="5">
        <v>10</v>
      </c>
      <c r="I7" s="6">
        <v>8</v>
      </c>
      <c r="J7" s="7">
        <v>3</v>
      </c>
      <c r="K7" s="1"/>
      <c r="L7" s="5">
        <v>5</v>
      </c>
      <c r="M7" s="5">
        <v>68</v>
      </c>
      <c r="N7" s="6">
        <v>15</v>
      </c>
      <c r="O7" s="6">
        <v>7</v>
      </c>
      <c r="P7" s="5">
        <v>76</v>
      </c>
      <c r="Q7" s="6">
        <v>10</v>
      </c>
      <c r="R7" s="6">
        <v>4</v>
      </c>
      <c r="S7" s="5">
        <v>58</v>
      </c>
      <c r="T7" s="6">
        <v>27</v>
      </c>
      <c r="U7" s="7">
        <v>5</v>
      </c>
    </row>
    <row r="8" spans="1:21">
      <c r="A8" s="8">
        <v>6</v>
      </c>
      <c r="B8" s="5">
        <v>17</v>
      </c>
      <c r="C8" s="6">
        <v>3</v>
      </c>
      <c r="D8" s="6">
        <v>1</v>
      </c>
      <c r="E8" s="5">
        <v>16</v>
      </c>
      <c r="F8" s="6">
        <v>4</v>
      </c>
      <c r="G8" s="6">
        <v>1</v>
      </c>
      <c r="H8" s="5">
        <v>11</v>
      </c>
      <c r="I8" s="6">
        <v>8</v>
      </c>
      <c r="J8" s="7">
        <v>2</v>
      </c>
      <c r="K8" s="1"/>
      <c r="L8" s="11">
        <v>6</v>
      </c>
      <c r="M8" s="11">
        <v>52</v>
      </c>
      <c r="N8" s="12">
        <v>13</v>
      </c>
      <c r="O8" s="12">
        <v>25</v>
      </c>
      <c r="P8" s="11">
        <v>40</v>
      </c>
      <c r="Q8" s="12">
        <v>28</v>
      </c>
      <c r="R8" s="12">
        <v>22</v>
      </c>
      <c r="S8" s="11">
        <v>51</v>
      </c>
      <c r="T8" s="12">
        <v>13</v>
      </c>
      <c r="U8" s="13">
        <v>26</v>
      </c>
    </row>
    <row r="9" spans="1:21">
      <c r="A9" s="5">
        <v>7</v>
      </c>
      <c r="B9" s="5">
        <v>18</v>
      </c>
      <c r="C9" s="6">
        <v>2</v>
      </c>
      <c r="D9" s="6">
        <v>1</v>
      </c>
      <c r="E9" s="5">
        <v>16</v>
      </c>
      <c r="F9" s="6">
        <v>5</v>
      </c>
      <c r="G9" s="6">
        <v>0</v>
      </c>
      <c r="H9" s="5">
        <v>14</v>
      </c>
      <c r="I9" s="6">
        <v>6</v>
      </c>
      <c r="J9" s="7">
        <v>1</v>
      </c>
      <c r="K9" s="1"/>
      <c r="L9" s="1"/>
      <c r="M9" s="6">
        <v>452</v>
      </c>
      <c r="N9" s="6">
        <v>113</v>
      </c>
      <c r="O9" s="6">
        <v>65</v>
      </c>
      <c r="P9" s="6">
        <v>444</v>
      </c>
      <c r="Q9" s="6">
        <v>143</v>
      </c>
      <c r="R9" s="6">
        <v>43</v>
      </c>
      <c r="S9" s="6">
        <v>417</v>
      </c>
      <c r="T9" s="6">
        <v>156</v>
      </c>
      <c r="U9" s="6">
        <v>57</v>
      </c>
    </row>
    <row r="10" spans="1:21">
      <c r="A10" s="5">
        <v>8</v>
      </c>
      <c r="B10" s="5">
        <v>13</v>
      </c>
      <c r="C10" s="6">
        <v>8</v>
      </c>
      <c r="D10" s="6">
        <v>0</v>
      </c>
      <c r="E10" s="5">
        <v>15</v>
      </c>
      <c r="F10" s="6">
        <v>6</v>
      </c>
      <c r="G10" s="6">
        <v>0</v>
      </c>
      <c r="H10" s="5">
        <v>12</v>
      </c>
      <c r="I10" s="6">
        <v>8</v>
      </c>
      <c r="J10" s="7">
        <v>1</v>
      </c>
      <c r="K10" s="1"/>
      <c r="L10" s="1"/>
      <c r="M10" s="1">
        <f t="shared" ref="M10:U10" si="0">SUM(M3:M7)</f>
        <v>400</v>
      </c>
      <c r="N10" s="1">
        <f t="shared" si="0"/>
        <v>100</v>
      </c>
      <c r="O10" s="1">
        <f t="shared" si="0"/>
        <v>40</v>
      </c>
      <c r="P10" s="1">
        <f t="shared" si="0"/>
        <v>404</v>
      </c>
      <c r="Q10" s="1">
        <f t="shared" si="0"/>
        <v>115</v>
      </c>
      <c r="R10" s="1">
        <f t="shared" si="0"/>
        <v>21</v>
      </c>
      <c r="S10" s="1">
        <f t="shared" si="0"/>
        <v>366</v>
      </c>
      <c r="T10" s="1">
        <f t="shared" si="0"/>
        <v>143</v>
      </c>
      <c r="U10" s="1">
        <f t="shared" si="0"/>
        <v>31</v>
      </c>
    </row>
    <row r="11" spans="1:21">
      <c r="A11" s="5">
        <v>9</v>
      </c>
      <c r="B11" s="5">
        <v>15</v>
      </c>
      <c r="C11" s="6">
        <v>2</v>
      </c>
      <c r="D11" s="6">
        <v>4</v>
      </c>
      <c r="E11" s="5">
        <v>16</v>
      </c>
      <c r="F11" s="6">
        <v>3</v>
      </c>
      <c r="G11" s="6">
        <v>2</v>
      </c>
      <c r="H11" s="5">
        <v>13</v>
      </c>
      <c r="I11" s="6">
        <v>6</v>
      </c>
      <c r="J11" s="7">
        <v>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5">
        <v>10</v>
      </c>
      <c r="B12" s="5">
        <v>16</v>
      </c>
      <c r="C12" s="6">
        <v>2</v>
      </c>
      <c r="D12" s="6">
        <v>3</v>
      </c>
      <c r="E12" s="5">
        <v>14</v>
      </c>
      <c r="F12" s="6">
        <v>4</v>
      </c>
      <c r="G12" s="6">
        <v>3</v>
      </c>
      <c r="H12" s="5">
        <v>15</v>
      </c>
      <c r="I12" s="6">
        <v>4</v>
      </c>
      <c r="J12" s="7">
        <v>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5">
        <v>11</v>
      </c>
      <c r="B13" s="5">
        <v>18</v>
      </c>
      <c r="C13" s="6">
        <v>3</v>
      </c>
      <c r="D13" s="6">
        <v>0</v>
      </c>
      <c r="E13" s="5">
        <v>17</v>
      </c>
      <c r="F13" s="6">
        <v>2</v>
      </c>
      <c r="G13" s="6">
        <v>2</v>
      </c>
      <c r="H13" s="5">
        <v>15</v>
      </c>
      <c r="I13" s="6">
        <v>4</v>
      </c>
      <c r="J13" s="7">
        <v>2</v>
      </c>
      <c r="K13" s="1"/>
      <c r="L13" s="1"/>
      <c r="M13" s="1">
        <f t="shared" ref="M13:U13" si="1">SUM(M3:M5,M7)</f>
        <v>333</v>
      </c>
      <c r="N13" s="1">
        <f t="shared" si="1"/>
        <v>82</v>
      </c>
      <c r="O13" s="1">
        <f t="shared" si="1"/>
        <v>35</v>
      </c>
      <c r="P13" s="1">
        <f t="shared" si="1"/>
        <v>336</v>
      </c>
      <c r="Q13" s="1">
        <f t="shared" si="1"/>
        <v>95</v>
      </c>
      <c r="R13" s="1">
        <f t="shared" si="1"/>
        <v>19</v>
      </c>
      <c r="S13" s="1">
        <f t="shared" si="1"/>
        <v>293</v>
      </c>
      <c r="T13" s="14">
        <f t="shared" si="1"/>
        <v>127</v>
      </c>
      <c r="U13" s="14">
        <f t="shared" si="1"/>
        <v>30</v>
      </c>
    </row>
    <row r="14" spans="1:21">
      <c r="A14" s="5">
        <v>12</v>
      </c>
      <c r="B14" s="5">
        <v>19</v>
      </c>
      <c r="C14" s="6">
        <v>2</v>
      </c>
      <c r="D14" s="6">
        <v>0</v>
      </c>
      <c r="E14" s="5">
        <v>17</v>
      </c>
      <c r="F14" s="6">
        <v>3</v>
      </c>
      <c r="G14" s="6">
        <v>1</v>
      </c>
      <c r="H14" s="5">
        <v>18</v>
      </c>
      <c r="I14" s="6">
        <v>2</v>
      </c>
      <c r="J14" s="7">
        <v>1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5">
        <v>13</v>
      </c>
      <c r="B15" s="5">
        <v>11</v>
      </c>
      <c r="C15" s="6">
        <v>7</v>
      </c>
      <c r="D15" s="6">
        <v>3</v>
      </c>
      <c r="E15" s="5">
        <v>13</v>
      </c>
      <c r="F15" s="6">
        <v>6</v>
      </c>
      <c r="G15" s="6">
        <v>2</v>
      </c>
      <c r="H15" s="5">
        <v>15</v>
      </c>
      <c r="I15" s="6">
        <v>5</v>
      </c>
      <c r="J15" s="7">
        <v>1</v>
      </c>
      <c r="K15" s="1"/>
      <c r="L15" s="1"/>
      <c r="M15" s="1">
        <f>SUM(M3:O8)</f>
        <v>630</v>
      </c>
      <c r="N15" s="1"/>
      <c r="O15" s="1"/>
      <c r="P15" s="1"/>
      <c r="Q15" s="1">
        <f>SUM(P3:R8)</f>
        <v>630</v>
      </c>
      <c r="R15" s="1"/>
      <c r="S15" s="1"/>
      <c r="T15" s="1"/>
      <c r="U15" s="1"/>
    </row>
    <row r="16" spans="1:21">
      <c r="A16" s="5">
        <v>14</v>
      </c>
      <c r="B16" s="5">
        <v>17</v>
      </c>
      <c r="C16" s="6">
        <v>4</v>
      </c>
      <c r="D16" s="6">
        <v>0</v>
      </c>
      <c r="E16" s="5">
        <v>16</v>
      </c>
      <c r="F16" s="6">
        <v>3</v>
      </c>
      <c r="G16" s="6">
        <v>2</v>
      </c>
      <c r="H16" s="5">
        <v>16</v>
      </c>
      <c r="I16" s="6">
        <v>3</v>
      </c>
      <c r="J16" s="7">
        <v>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5">
        <v>15</v>
      </c>
      <c r="B17" s="5">
        <v>18</v>
      </c>
      <c r="C17" s="6">
        <v>2</v>
      </c>
      <c r="D17" s="6">
        <v>1</v>
      </c>
      <c r="E17" s="5">
        <v>13</v>
      </c>
      <c r="F17" s="6">
        <v>8</v>
      </c>
      <c r="G17" s="6">
        <v>0</v>
      </c>
      <c r="H17" s="5">
        <v>13</v>
      </c>
      <c r="I17" s="6">
        <v>6</v>
      </c>
      <c r="J17" s="7">
        <v>2</v>
      </c>
      <c r="K17" s="1"/>
      <c r="L17" s="1"/>
      <c r="M17" s="1"/>
      <c r="N17" s="1"/>
      <c r="O17" s="1"/>
      <c r="P17" s="1"/>
      <c r="Q17" s="1"/>
      <c r="R17" s="14"/>
      <c r="S17" s="1"/>
      <c r="T17" s="1"/>
      <c r="U17" s="1"/>
    </row>
    <row r="18" spans="1:21">
      <c r="A18" s="5">
        <v>16</v>
      </c>
      <c r="B18" s="5">
        <v>14</v>
      </c>
      <c r="C18" s="6">
        <v>6</v>
      </c>
      <c r="D18" s="6">
        <v>1</v>
      </c>
      <c r="E18" s="5">
        <v>16</v>
      </c>
      <c r="F18" s="6">
        <v>4</v>
      </c>
      <c r="G18" s="6">
        <v>1</v>
      </c>
      <c r="H18" s="5">
        <v>14</v>
      </c>
      <c r="I18" s="6">
        <v>6</v>
      </c>
      <c r="J18" s="7">
        <v>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5">
        <v>17</v>
      </c>
      <c r="B19" s="5">
        <v>18</v>
      </c>
      <c r="C19" s="6">
        <v>1</v>
      </c>
      <c r="D19" s="6">
        <v>2</v>
      </c>
      <c r="E19" s="5">
        <v>17</v>
      </c>
      <c r="F19" s="6">
        <v>3</v>
      </c>
      <c r="G19" s="6">
        <v>1</v>
      </c>
      <c r="H19" s="5">
        <v>15</v>
      </c>
      <c r="I19" s="6">
        <v>4</v>
      </c>
      <c r="J19" s="7">
        <v>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5">
        <v>18</v>
      </c>
      <c r="B20" s="5">
        <v>15</v>
      </c>
      <c r="C20" s="6">
        <v>3</v>
      </c>
      <c r="D20" s="6">
        <v>3</v>
      </c>
      <c r="E20" s="5">
        <v>15</v>
      </c>
      <c r="F20" s="6">
        <v>4</v>
      </c>
      <c r="G20" s="6">
        <v>2</v>
      </c>
      <c r="H20" s="5">
        <v>10</v>
      </c>
      <c r="I20" s="6">
        <v>7</v>
      </c>
      <c r="J20" s="7">
        <v>4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5">
        <v>19</v>
      </c>
      <c r="B21" s="5">
        <v>13</v>
      </c>
      <c r="C21" s="6">
        <v>6</v>
      </c>
      <c r="D21" s="6">
        <v>2</v>
      </c>
      <c r="E21" s="5">
        <v>13</v>
      </c>
      <c r="F21" s="6">
        <v>6</v>
      </c>
      <c r="G21" s="6">
        <v>2</v>
      </c>
      <c r="H21" s="5">
        <v>9</v>
      </c>
      <c r="I21" s="6">
        <v>9</v>
      </c>
      <c r="J21" s="7">
        <v>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5">
        <v>20</v>
      </c>
      <c r="B22" s="5">
        <v>16</v>
      </c>
      <c r="C22" s="6">
        <v>3</v>
      </c>
      <c r="D22" s="6">
        <v>2</v>
      </c>
      <c r="E22" s="5">
        <v>15</v>
      </c>
      <c r="F22" s="6">
        <v>5</v>
      </c>
      <c r="G22" s="6">
        <v>1</v>
      </c>
      <c r="H22" s="5">
        <v>17</v>
      </c>
      <c r="I22" s="6">
        <v>2</v>
      </c>
      <c r="J22" s="7">
        <v>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5">
        <v>21</v>
      </c>
      <c r="B23" s="5">
        <v>16</v>
      </c>
      <c r="C23" s="6">
        <v>3</v>
      </c>
      <c r="D23" s="6">
        <v>2</v>
      </c>
      <c r="E23" s="5">
        <v>11</v>
      </c>
      <c r="F23" s="6">
        <v>9</v>
      </c>
      <c r="G23" s="6">
        <v>1</v>
      </c>
      <c r="H23" s="5">
        <v>16</v>
      </c>
      <c r="I23" s="6">
        <v>4</v>
      </c>
      <c r="J23" s="7">
        <v>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5">
        <v>22</v>
      </c>
      <c r="B24" s="5">
        <v>16</v>
      </c>
      <c r="C24" s="6">
        <v>4</v>
      </c>
      <c r="D24" s="6">
        <v>1</v>
      </c>
      <c r="E24" s="5">
        <v>16</v>
      </c>
      <c r="F24" s="6">
        <v>3</v>
      </c>
      <c r="G24" s="6">
        <v>2</v>
      </c>
      <c r="H24" s="5">
        <v>16</v>
      </c>
      <c r="I24" s="6">
        <v>3</v>
      </c>
      <c r="J24" s="7">
        <v>2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5">
        <v>23</v>
      </c>
      <c r="B25" s="5">
        <v>18</v>
      </c>
      <c r="C25" s="6">
        <v>2</v>
      </c>
      <c r="D25" s="6">
        <v>1</v>
      </c>
      <c r="E25" s="5">
        <v>18</v>
      </c>
      <c r="F25" s="6">
        <v>2</v>
      </c>
      <c r="G25" s="6">
        <v>1</v>
      </c>
      <c r="H25" s="5">
        <v>14</v>
      </c>
      <c r="I25" s="6">
        <v>4</v>
      </c>
      <c r="J25" s="7">
        <v>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5">
        <v>24</v>
      </c>
      <c r="B26" s="5">
        <v>14</v>
      </c>
      <c r="C26" s="6">
        <v>5</v>
      </c>
      <c r="D26" s="6">
        <v>2</v>
      </c>
      <c r="E26" s="5">
        <v>13</v>
      </c>
      <c r="F26" s="6">
        <v>5</v>
      </c>
      <c r="G26" s="6">
        <v>3</v>
      </c>
      <c r="H26" s="5">
        <v>15</v>
      </c>
      <c r="I26" s="6">
        <v>4</v>
      </c>
      <c r="J26" s="7">
        <v>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5">
        <v>25</v>
      </c>
      <c r="B27" s="5">
        <v>16</v>
      </c>
      <c r="C27" s="6">
        <v>5</v>
      </c>
      <c r="D27" s="6">
        <v>0</v>
      </c>
      <c r="E27" s="5">
        <v>16</v>
      </c>
      <c r="F27" s="6">
        <v>5</v>
      </c>
      <c r="G27" s="6">
        <v>0</v>
      </c>
      <c r="H27" s="5">
        <v>16</v>
      </c>
      <c r="I27" s="6">
        <v>5</v>
      </c>
      <c r="J27" s="7">
        <v>0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5.75">
      <c r="A28" s="5">
        <v>26</v>
      </c>
      <c r="B28" s="5">
        <v>13</v>
      </c>
      <c r="C28" s="6">
        <v>6</v>
      </c>
      <c r="D28" s="6">
        <v>2</v>
      </c>
      <c r="E28" s="5">
        <v>12</v>
      </c>
      <c r="F28" s="6">
        <v>7</v>
      </c>
      <c r="G28" s="6">
        <v>2</v>
      </c>
      <c r="H28" s="5">
        <v>15</v>
      </c>
      <c r="I28" s="6">
        <v>4</v>
      </c>
      <c r="J28" s="7">
        <v>2</v>
      </c>
      <c r="K28" s="1"/>
      <c r="L28" s="1"/>
      <c r="M28" s="1"/>
      <c r="N28" s="1"/>
      <c r="O28" s="1"/>
      <c r="P28" s="17" t="s">
        <v>8</v>
      </c>
      <c r="Q28" s="48">
        <v>1.7698639151484175E-2</v>
      </c>
      <c r="R28" s="1"/>
      <c r="S28" s="1"/>
      <c r="T28" s="1"/>
      <c r="U28" s="1"/>
    </row>
    <row r="29" spans="1:21" ht="15.75">
      <c r="A29" s="5">
        <v>27</v>
      </c>
      <c r="B29" s="5">
        <v>13</v>
      </c>
      <c r="C29" s="6">
        <v>4</v>
      </c>
      <c r="D29" s="6">
        <v>4</v>
      </c>
      <c r="E29" s="15">
        <v>14</v>
      </c>
      <c r="F29" s="16">
        <v>4</v>
      </c>
      <c r="G29" s="16">
        <v>3</v>
      </c>
      <c r="H29" s="5">
        <v>19</v>
      </c>
      <c r="I29" s="6">
        <v>1</v>
      </c>
      <c r="J29" s="7">
        <v>1</v>
      </c>
      <c r="K29" s="1"/>
      <c r="L29" s="1"/>
      <c r="M29" s="1"/>
      <c r="N29" s="1"/>
      <c r="O29" s="1"/>
      <c r="P29" s="17" t="s">
        <v>9</v>
      </c>
      <c r="Q29" s="20">
        <v>0.18526799999999999</v>
      </c>
      <c r="R29" s="1"/>
      <c r="S29" s="1"/>
      <c r="T29" s="1"/>
      <c r="U29" s="1"/>
    </row>
    <row r="30" spans="1:21" ht="15.75">
      <c r="A30" s="5">
        <v>28</v>
      </c>
      <c r="B30" s="5">
        <v>11</v>
      </c>
      <c r="C30" s="6">
        <v>6</v>
      </c>
      <c r="D30" s="6">
        <v>4</v>
      </c>
      <c r="E30" s="5">
        <v>14</v>
      </c>
      <c r="F30" s="6">
        <v>7</v>
      </c>
      <c r="G30" s="6">
        <v>0</v>
      </c>
      <c r="H30" s="5">
        <v>13</v>
      </c>
      <c r="I30" s="6">
        <v>7</v>
      </c>
      <c r="J30" s="7">
        <v>1</v>
      </c>
      <c r="K30" s="1"/>
      <c r="L30" s="1"/>
      <c r="M30" s="1"/>
      <c r="N30" s="1"/>
      <c r="O30" s="1"/>
      <c r="P30" s="17" t="s">
        <v>10</v>
      </c>
      <c r="Q30" s="48">
        <v>1.2229E-2</v>
      </c>
      <c r="R30" s="1"/>
      <c r="S30" s="1"/>
      <c r="T30" s="1"/>
      <c r="U30" s="1"/>
    </row>
    <row r="31" spans="1:21">
      <c r="A31" s="5">
        <v>29</v>
      </c>
      <c r="B31" s="5">
        <v>10</v>
      </c>
      <c r="C31" s="6">
        <v>6</v>
      </c>
      <c r="D31" s="6">
        <v>5</v>
      </c>
      <c r="E31" s="5">
        <v>14</v>
      </c>
      <c r="F31" s="6">
        <v>7</v>
      </c>
      <c r="G31" s="6">
        <v>0</v>
      </c>
      <c r="H31" s="5">
        <v>10</v>
      </c>
      <c r="I31" s="6">
        <v>9</v>
      </c>
      <c r="J31" s="7">
        <v>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5.75">
      <c r="A32" s="11">
        <v>30</v>
      </c>
      <c r="B32" s="11">
        <v>4</v>
      </c>
      <c r="C32" s="12">
        <v>5</v>
      </c>
      <c r="D32" s="12">
        <v>12</v>
      </c>
      <c r="E32" s="11">
        <v>14</v>
      </c>
      <c r="F32" s="12">
        <v>4</v>
      </c>
      <c r="G32" s="12">
        <v>3</v>
      </c>
      <c r="H32" s="11">
        <v>14</v>
      </c>
      <c r="I32" s="12">
        <v>7</v>
      </c>
      <c r="J32" s="13">
        <v>0</v>
      </c>
      <c r="K32" s="1"/>
      <c r="L32" s="1"/>
      <c r="M32" s="1"/>
      <c r="N32" s="1"/>
      <c r="O32" s="1"/>
      <c r="P32" s="17" t="s">
        <v>11</v>
      </c>
      <c r="Q32" s="48">
        <v>3.0433000000000002E-2</v>
      </c>
      <c r="R32" s="1"/>
      <c r="S32" s="1"/>
      <c r="T32" s="1"/>
      <c r="U32" s="1"/>
    </row>
    <row r="33" spans="1:21" ht="15.75">
      <c r="A33" s="1" t="s">
        <v>12</v>
      </c>
      <c r="B33" s="6">
        <v>452</v>
      </c>
      <c r="C33" s="6">
        <v>113</v>
      </c>
      <c r="D33" s="6">
        <v>65</v>
      </c>
      <c r="E33" s="6">
        <v>444</v>
      </c>
      <c r="F33" s="6">
        <v>143</v>
      </c>
      <c r="G33" s="6">
        <v>43</v>
      </c>
      <c r="H33" s="6">
        <v>417</v>
      </c>
      <c r="I33" s="6">
        <v>156</v>
      </c>
      <c r="J33" s="6">
        <v>57</v>
      </c>
      <c r="K33" s="1">
        <f>SUM(B33:J33)</f>
        <v>1890</v>
      </c>
      <c r="L33" s="1"/>
      <c r="M33" s="1"/>
      <c r="N33" s="1"/>
      <c r="O33" s="1"/>
      <c r="P33" s="17" t="s">
        <v>13</v>
      </c>
      <c r="Q33" s="48">
        <v>3.2759000000000003E-2</v>
      </c>
      <c r="R33" s="1"/>
      <c r="S33" s="1"/>
      <c r="T33" s="1"/>
      <c r="U33" s="1"/>
    </row>
    <row r="34" spans="1:21" ht="15" customHeight="1">
      <c r="P34" s="17" t="s">
        <v>14</v>
      </c>
      <c r="Q34" s="48">
        <v>5.9189999999999998E-3</v>
      </c>
    </row>
    <row r="35" spans="1:21" ht="15" customHeight="1">
      <c r="C35">
        <f>SUM(B33:D33)</f>
        <v>630</v>
      </c>
    </row>
    <row r="37" spans="1:21">
      <c r="B37" s="17" t="s">
        <v>15</v>
      </c>
    </row>
    <row r="38" spans="1:21">
      <c r="B38" s="17" t="s">
        <v>16</v>
      </c>
    </row>
    <row r="39" spans="1:21">
      <c r="B39" s="17" t="s">
        <v>17</v>
      </c>
    </row>
    <row r="40" spans="1:21">
      <c r="B40" s="17" t="s">
        <v>18</v>
      </c>
    </row>
    <row r="43" spans="1:21">
      <c r="A43" s="17" t="s">
        <v>8</v>
      </c>
      <c r="B43" s="48">
        <v>1.7698639151484175E-2</v>
      </c>
      <c r="C43" s="19"/>
      <c r="F43" s="17" t="s">
        <v>19</v>
      </c>
      <c r="H43" s="17" t="s">
        <v>20</v>
      </c>
    </row>
    <row r="44" spans="1:21">
      <c r="A44" s="17" t="s">
        <v>21</v>
      </c>
      <c r="B44" s="18">
        <v>5.5742E-2</v>
      </c>
    </row>
    <row r="45" spans="1:21" ht="15.75" customHeight="1">
      <c r="A45" s="17" t="s">
        <v>11</v>
      </c>
      <c r="B45" s="48">
        <v>3.0433000000000002E-2</v>
      </c>
      <c r="C45" s="19"/>
      <c r="D45" s="19"/>
      <c r="F45" s="17" t="s">
        <v>22</v>
      </c>
      <c r="H45" s="17" t="s">
        <v>23</v>
      </c>
      <c r="M45" s="17" t="s">
        <v>24</v>
      </c>
    </row>
    <row r="46" spans="1:21">
      <c r="A46" s="17" t="s">
        <v>9</v>
      </c>
      <c r="B46" s="20">
        <v>0.18526799999999999</v>
      </c>
    </row>
    <row r="47" spans="1:21">
      <c r="A47" s="17" t="s">
        <v>25</v>
      </c>
      <c r="B47" s="20">
        <v>0.10477499999999999</v>
      </c>
      <c r="F47" s="17" t="s">
        <v>26</v>
      </c>
      <c r="H47" s="17" t="s">
        <v>27</v>
      </c>
    </row>
    <row r="48" spans="1:21">
      <c r="A48" s="17" t="s">
        <v>13</v>
      </c>
      <c r="B48" s="48">
        <v>3.2759000000000003E-2</v>
      </c>
      <c r="C48" s="19"/>
      <c r="D48" s="19"/>
      <c r="H48" s="17" t="s">
        <v>28</v>
      </c>
    </row>
    <row r="49" spans="1:13">
      <c r="A49" s="17" t="s">
        <v>10</v>
      </c>
      <c r="B49" s="48">
        <v>1.2229E-2</v>
      </c>
      <c r="C49" s="19"/>
    </row>
    <row r="50" spans="1:13">
      <c r="A50" s="17" t="s">
        <v>29</v>
      </c>
      <c r="B50" s="18">
        <v>0.79339599999999999</v>
      </c>
      <c r="F50" s="17" t="s">
        <v>30</v>
      </c>
      <c r="I50" s="17" t="s">
        <v>31</v>
      </c>
    </row>
    <row r="51" spans="1:13">
      <c r="A51" s="17" t="s">
        <v>14</v>
      </c>
      <c r="B51" s="48">
        <v>5.9189999999999998E-3</v>
      </c>
      <c r="C51" s="19"/>
      <c r="D51" s="19"/>
      <c r="I51" s="17" t="s">
        <v>32</v>
      </c>
    </row>
    <row r="52" spans="1:13">
      <c r="A52" s="17" t="s">
        <v>33</v>
      </c>
      <c r="B52" s="49">
        <v>2.3E-5</v>
      </c>
      <c r="C52" s="19"/>
    </row>
    <row r="53" spans="1:13">
      <c r="A53" s="17" t="s">
        <v>34</v>
      </c>
      <c r="B53" s="50">
        <v>0</v>
      </c>
      <c r="C53" s="19"/>
      <c r="F53" s="17" t="s">
        <v>35</v>
      </c>
    </row>
    <row r="54" spans="1:13">
      <c r="A54" s="17" t="s">
        <v>36</v>
      </c>
      <c r="B54" s="50">
        <v>0</v>
      </c>
      <c r="C54" s="19"/>
    </row>
    <row r="55" spans="1:13">
      <c r="A55" s="22" t="s">
        <v>37</v>
      </c>
      <c r="B55" s="50">
        <v>0</v>
      </c>
      <c r="C55" s="19"/>
      <c r="F55" s="17" t="s">
        <v>38</v>
      </c>
      <c r="M55" s="17" t="s">
        <v>39</v>
      </c>
    </row>
    <row r="56" spans="1:13">
      <c r="A56" s="22" t="s">
        <v>40</v>
      </c>
      <c r="B56" s="50">
        <v>0</v>
      </c>
      <c r="C56" s="19"/>
    </row>
    <row r="57" spans="1:13">
      <c r="A57" s="22" t="s">
        <v>41</v>
      </c>
      <c r="B57" s="50">
        <v>0</v>
      </c>
      <c r="C57" s="19"/>
      <c r="F57" s="17" t="s">
        <v>42</v>
      </c>
    </row>
    <row r="58" spans="1:13">
      <c r="A58" s="22" t="s">
        <v>43</v>
      </c>
      <c r="B58" s="21">
        <v>0.26401200000000002</v>
      </c>
    </row>
    <row r="59" spans="1:13">
      <c r="A59" s="22" t="s">
        <v>44</v>
      </c>
      <c r="B59" s="23">
        <v>0.16085018000000001</v>
      </c>
      <c r="F59" s="17" t="s">
        <v>45</v>
      </c>
    </row>
    <row r="60" spans="1:13">
      <c r="A60" s="22" t="s">
        <v>46</v>
      </c>
      <c r="B60" s="46">
        <v>1.5727200000000001E-3</v>
      </c>
      <c r="C60" s="19"/>
    </row>
    <row r="61" spans="1:13">
      <c r="A61" s="22" t="s">
        <v>47</v>
      </c>
      <c r="B61" s="24">
        <v>0.22252</v>
      </c>
    </row>
    <row r="62" spans="1:13">
      <c r="A62" s="22" t="s">
        <v>48</v>
      </c>
      <c r="B62" s="23">
        <v>0.17816657999999999</v>
      </c>
    </row>
    <row r="63" spans="1:13">
      <c r="A63" s="22" t="s">
        <v>49</v>
      </c>
      <c r="B63" s="46">
        <v>2.6265147519322074E-4</v>
      </c>
      <c r="C63" s="19"/>
    </row>
    <row r="64" spans="1:13">
      <c r="A64" s="17" t="s">
        <v>50</v>
      </c>
      <c r="B64" s="21">
        <v>0.50915600000000005</v>
      </c>
    </row>
    <row r="65" spans="1:3">
      <c r="A65" s="17" t="s">
        <v>51</v>
      </c>
      <c r="B65" s="23">
        <v>0.57846682000000005</v>
      </c>
    </row>
    <row r="66" spans="1:3">
      <c r="A66" s="25" t="s">
        <v>52</v>
      </c>
      <c r="B66" s="46">
        <v>1.472206E-2</v>
      </c>
      <c r="C66" s="19"/>
    </row>
    <row r="67" spans="1:3">
      <c r="A67" s="17" t="s">
        <v>53</v>
      </c>
      <c r="B67" s="21">
        <v>0.72978900000000002</v>
      </c>
    </row>
    <row r="68" spans="1:3">
      <c r="A68" s="17" t="s">
        <v>54</v>
      </c>
      <c r="B68" s="23">
        <v>0.66271263628478727</v>
      </c>
    </row>
    <row r="69" spans="1:3">
      <c r="A69" s="17" t="s">
        <v>55</v>
      </c>
      <c r="B69" s="47">
        <v>6.8928000000000001E-3</v>
      </c>
      <c r="C69" s="19"/>
    </row>
  </sheetData>
  <mergeCells count="6">
    <mergeCell ref="S1:U1"/>
    <mergeCell ref="B1:D1"/>
    <mergeCell ref="E1:G1"/>
    <mergeCell ref="H1:J1"/>
    <mergeCell ref="M1:O1"/>
    <mergeCell ref="P1:R1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796E-F4E6-4623-A886-D19F0EFA03DE}">
  <dimension ref="A1:V38"/>
  <sheetViews>
    <sheetView tabSelected="1" workbookViewId="0">
      <selection activeCell="M1" sqref="M1:V18"/>
    </sheetView>
  </sheetViews>
  <sheetFormatPr defaultRowHeight="15.75"/>
  <sheetData>
    <row r="1" spans="1:22">
      <c r="A1" s="1"/>
      <c r="B1" s="55" t="s">
        <v>0</v>
      </c>
      <c r="C1" s="58"/>
      <c r="D1" s="58"/>
      <c r="E1" s="55" t="s">
        <v>1</v>
      </c>
      <c r="F1" s="58"/>
      <c r="G1" s="58"/>
      <c r="H1" s="55" t="s">
        <v>2</v>
      </c>
      <c r="I1" s="58"/>
      <c r="J1" s="58"/>
      <c r="M1" s="51"/>
      <c r="N1" s="51"/>
      <c r="O1" s="51"/>
      <c r="P1" s="51"/>
      <c r="Q1" s="51"/>
      <c r="R1" s="51"/>
      <c r="S1" s="51"/>
      <c r="T1" s="51"/>
      <c r="U1" s="51"/>
      <c r="V1" s="51" t="s">
        <v>56</v>
      </c>
    </row>
    <row r="2" spans="1:22">
      <c r="A2" s="2" t="s">
        <v>3</v>
      </c>
      <c r="B2" s="3" t="s">
        <v>4</v>
      </c>
      <c r="C2" s="4" t="s">
        <v>5</v>
      </c>
      <c r="D2" s="3" t="s">
        <v>6</v>
      </c>
      <c r="E2" s="3" t="s">
        <v>4</v>
      </c>
      <c r="F2" s="4" t="s">
        <v>5</v>
      </c>
      <c r="G2" s="3" t="s">
        <v>6</v>
      </c>
      <c r="H2" s="3" t="s">
        <v>4</v>
      </c>
      <c r="I2" s="4" t="s">
        <v>5</v>
      </c>
      <c r="J2" s="3" t="s">
        <v>6</v>
      </c>
      <c r="M2" s="52"/>
      <c r="N2" s="56" t="s">
        <v>0</v>
      </c>
      <c r="O2" s="59"/>
      <c r="P2" s="59"/>
      <c r="Q2" s="56" t="s">
        <v>1</v>
      </c>
      <c r="R2" s="59"/>
      <c r="S2" s="59"/>
      <c r="T2" s="56" t="s">
        <v>2</v>
      </c>
      <c r="U2" s="59"/>
      <c r="V2" s="59"/>
    </row>
    <row r="3" spans="1:22">
      <c r="A3" s="5">
        <v>1</v>
      </c>
      <c r="B3" s="5">
        <v>17</v>
      </c>
      <c r="C3" s="6">
        <v>1</v>
      </c>
      <c r="D3" s="6">
        <v>3</v>
      </c>
      <c r="E3" s="5">
        <v>15</v>
      </c>
      <c r="F3" s="6">
        <v>2</v>
      </c>
      <c r="G3" s="6">
        <v>4</v>
      </c>
      <c r="H3" s="5">
        <v>11</v>
      </c>
      <c r="I3" s="6">
        <v>6</v>
      </c>
      <c r="J3" s="7">
        <v>4</v>
      </c>
      <c r="M3" s="53" t="s">
        <v>3</v>
      </c>
      <c r="N3" s="53" t="s">
        <v>4</v>
      </c>
      <c r="O3" s="53" t="s">
        <v>5</v>
      </c>
      <c r="P3" s="53" t="s">
        <v>6</v>
      </c>
      <c r="Q3" s="53" t="s">
        <v>4</v>
      </c>
      <c r="R3" s="53" t="s">
        <v>5</v>
      </c>
      <c r="S3" s="53" t="s">
        <v>6</v>
      </c>
      <c r="T3" s="53" t="s">
        <v>4</v>
      </c>
      <c r="U3" s="53" t="s">
        <v>5</v>
      </c>
      <c r="V3" s="53" t="s">
        <v>6</v>
      </c>
    </row>
    <row r="4" spans="1:22">
      <c r="A4" s="5">
        <v>2</v>
      </c>
      <c r="B4" s="5">
        <v>19</v>
      </c>
      <c r="C4" s="6">
        <v>1</v>
      </c>
      <c r="D4" s="6">
        <v>1</v>
      </c>
      <c r="E4" s="5">
        <v>15</v>
      </c>
      <c r="F4" s="6">
        <v>6</v>
      </c>
      <c r="G4" s="6">
        <v>0</v>
      </c>
      <c r="H4" s="5">
        <v>11</v>
      </c>
      <c r="I4" s="6">
        <v>5</v>
      </c>
      <c r="J4" s="7">
        <v>5</v>
      </c>
      <c r="M4" s="10">
        <v>1</v>
      </c>
      <c r="N4" s="10">
        <v>17</v>
      </c>
      <c r="O4" s="10">
        <v>1</v>
      </c>
      <c r="P4" s="10">
        <v>3</v>
      </c>
      <c r="Q4" s="10">
        <v>15</v>
      </c>
      <c r="R4" s="10">
        <v>2</v>
      </c>
      <c r="S4" s="10">
        <v>4</v>
      </c>
      <c r="T4" s="10">
        <v>11</v>
      </c>
      <c r="U4" s="10">
        <v>6</v>
      </c>
      <c r="V4" s="10">
        <v>4</v>
      </c>
    </row>
    <row r="5" spans="1:22">
      <c r="A5" s="8">
        <v>3</v>
      </c>
      <c r="B5" s="5">
        <v>17</v>
      </c>
      <c r="C5" s="6">
        <v>3</v>
      </c>
      <c r="D5" s="6">
        <v>1</v>
      </c>
      <c r="E5" s="5">
        <v>12</v>
      </c>
      <c r="F5" s="6">
        <v>7</v>
      </c>
      <c r="G5" s="6">
        <v>2</v>
      </c>
      <c r="H5" s="5">
        <v>13</v>
      </c>
      <c r="I5" s="6">
        <v>6</v>
      </c>
      <c r="J5" s="7">
        <v>2</v>
      </c>
      <c r="M5" s="10">
        <v>2</v>
      </c>
      <c r="N5" s="10">
        <v>19</v>
      </c>
      <c r="O5" s="10">
        <v>1</v>
      </c>
      <c r="P5" s="10">
        <v>1</v>
      </c>
      <c r="Q5" s="10">
        <v>15</v>
      </c>
      <c r="R5" s="10">
        <v>6</v>
      </c>
      <c r="S5" s="10">
        <v>0</v>
      </c>
      <c r="T5" s="10">
        <v>11</v>
      </c>
      <c r="U5" s="10">
        <v>5</v>
      </c>
      <c r="V5" s="10">
        <v>5</v>
      </c>
    </row>
    <row r="6" spans="1:22">
      <c r="A6" s="8">
        <v>4</v>
      </c>
      <c r="B6" s="5">
        <v>12</v>
      </c>
      <c r="C6" s="6">
        <v>8</v>
      </c>
      <c r="D6" s="6">
        <v>1</v>
      </c>
      <c r="E6" s="5">
        <v>14</v>
      </c>
      <c r="F6" s="6">
        <v>6</v>
      </c>
      <c r="G6" s="6">
        <v>1</v>
      </c>
      <c r="H6" s="5">
        <v>17</v>
      </c>
      <c r="I6" s="6">
        <v>3</v>
      </c>
      <c r="J6" s="7">
        <v>1</v>
      </c>
      <c r="M6" s="10">
        <v>3</v>
      </c>
      <c r="N6" s="10">
        <v>17</v>
      </c>
      <c r="O6" s="10">
        <v>3</v>
      </c>
      <c r="P6" s="10">
        <v>1</v>
      </c>
      <c r="Q6" s="10">
        <v>12</v>
      </c>
      <c r="R6" s="10">
        <v>7</v>
      </c>
      <c r="S6" s="10">
        <v>2</v>
      </c>
      <c r="T6" s="10">
        <v>13</v>
      </c>
      <c r="U6" s="10">
        <v>6</v>
      </c>
      <c r="V6" s="10">
        <v>2</v>
      </c>
    </row>
    <row r="7" spans="1:22">
      <c r="A7" s="8">
        <v>5</v>
      </c>
      <c r="B7" s="5">
        <v>18</v>
      </c>
      <c r="C7" s="6">
        <v>0</v>
      </c>
      <c r="D7" s="6">
        <v>3</v>
      </c>
      <c r="E7" s="5">
        <v>17</v>
      </c>
      <c r="F7" s="6">
        <v>3</v>
      </c>
      <c r="G7" s="6">
        <v>1</v>
      </c>
      <c r="H7" s="5">
        <v>10</v>
      </c>
      <c r="I7" s="6">
        <v>8</v>
      </c>
      <c r="J7" s="7">
        <v>3</v>
      </c>
      <c r="M7" s="10">
        <v>4</v>
      </c>
      <c r="N7" s="10">
        <v>12</v>
      </c>
      <c r="O7" s="10">
        <v>8</v>
      </c>
      <c r="P7" s="10">
        <v>1</v>
      </c>
      <c r="Q7" s="10">
        <v>14</v>
      </c>
      <c r="R7" s="10">
        <v>6</v>
      </c>
      <c r="S7" s="10">
        <v>1</v>
      </c>
      <c r="T7" s="10">
        <v>17</v>
      </c>
      <c r="U7" s="10">
        <v>3</v>
      </c>
      <c r="V7" s="10">
        <v>1</v>
      </c>
    </row>
    <row r="8" spans="1:22">
      <c r="A8" s="8">
        <v>6</v>
      </c>
      <c r="B8" s="5">
        <v>17</v>
      </c>
      <c r="C8" s="6">
        <v>3</v>
      </c>
      <c r="D8" s="6">
        <v>1</v>
      </c>
      <c r="E8" s="5">
        <v>16</v>
      </c>
      <c r="F8" s="6">
        <v>4</v>
      </c>
      <c r="G8" s="6">
        <v>1</v>
      </c>
      <c r="H8" s="5">
        <v>11</v>
      </c>
      <c r="I8" s="6">
        <v>8</v>
      </c>
      <c r="J8" s="7">
        <v>2</v>
      </c>
      <c r="M8" s="10">
        <v>5</v>
      </c>
      <c r="N8" s="10">
        <v>18</v>
      </c>
      <c r="O8" s="10">
        <v>0</v>
      </c>
      <c r="P8" s="10">
        <v>3</v>
      </c>
      <c r="Q8" s="10">
        <v>17</v>
      </c>
      <c r="R8" s="10">
        <v>3</v>
      </c>
      <c r="S8" s="10">
        <v>1</v>
      </c>
      <c r="T8" s="10">
        <v>10</v>
      </c>
      <c r="U8" s="10">
        <v>8</v>
      </c>
      <c r="V8" s="10">
        <v>3</v>
      </c>
    </row>
    <row r="9" spans="1:22">
      <c r="A9" s="5">
        <v>7</v>
      </c>
      <c r="B9" s="5">
        <v>18</v>
      </c>
      <c r="C9" s="6">
        <v>2</v>
      </c>
      <c r="D9" s="6">
        <v>1</v>
      </c>
      <c r="E9" s="5">
        <v>16</v>
      </c>
      <c r="F9" s="6">
        <v>5</v>
      </c>
      <c r="G9" s="6">
        <v>0</v>
      </c>
      <c r="H9" s="5">
        <v>14</v>
      </c>
      <c r="I9" s="6">
        <v>6</v>
      </c>
      <c r="J9" s="7">
        <v>1</v>
      </c>
      <c r="M9" s="10">
        <v>6</v>
      </c>
      <c r="N9" s="10">
        <v>17</v>
      </c>
      <c r="O9" s="10">
        <v>3</v>
      </c>
      <c r="P9" s="10">
        <v>1</v>
      </c>
      <c r="Q9" s="10">
        <v>16</v>
      </c>
      <c r="R9" s="10">
        <v>4</v>
      </c>
      <c r="S9" s="10">
        <v>1</v>
      </c>
      <c r="T9" s="10">
        <v>11</v>
      </c>
      <c r="U9" s="10">
        <v>8</v>
      </c>
      <c r="V9" s="10">
        <v>2</v>
      </c>
    </row>
    <row r="10" spans="1:22">
      <c r="A10" s="5">
        <v>8</v>
      </c>
      <c r="B10" s="5">
        <v>13</v>
      </c>
      <c r="C10" s="6">
        <v>8</v>
      </c>
      <c r="D10" s="6">
        <v>0</v>
      </c>
      <c r="E10" s="5">
        <v>15</v>
      </c>
      <c r="F10" s="6">
        <v>6</v>
      </c>
      <c r="G10" s="6">
        <v>0</v>
      </c>
      <c r="H10" s="5">
        <v>12</v>
      </c>
      <c r="I10" s="6">
        <v>8</v>
      </c>
      <c r="J10" s="7">
        <v>1</v>
      </c>
      <c r="M10" s="10">
        <v>7</v>
      </c>
      <c r="N10" s="10">
        <v>18</v>
      </c>
      <c r="O10" s="10">
        <v>2</v>
      </c>
      <c r="P10" s="10">
        <v>1</v>
      </c>
      <c r="Q10" s="10">
        <v>16</v>
      </c>
      <c r="R10" s="10">
        <v>5</v>
      </c>
      <c r="S10" s="10">
        <v>0</v>
      </c>
      <c r="T10" s="10">
        <v>14</v>
      </c>
      <c r="U10" s="10">
        <v>6</v>
      </c>
      <c r="V10" s="10">
        <v>1</v>
      </c>
    </row>
    <row r="11" spans="1:22">
      <c r="A11" s="5">
        <v>9</v>
      </c>
      <c r="B11" s="5">
        <v>15</v>
      </c>
      <c r="C11" s="6">
        <v>2</v>
      </c>
      <c r="D11" s="6">
        <v>4</v>
      </c>
      <c r="E11" s="5">
        <v>16</v>
      </c>
      <c r="F11" s="6">
        <v>3</v>
      </c>
      <c r="G11" s="6">
        <v>2</v>
      </c>
      <c r="H11" s="5">
        <v>13</v>
      </c>
      <c r="I11" s="6">
        <v>6</v>
      </c>
      <c r="J11" s="7">
        <v>2</v>
      </c>
      <c r="M11" s="10">
        <v>8</v>
      </c>
      <c r="N11" s="10">
        <v>13</v>
      </c>
      <c r="O11" s="10">
        <v>8</v>
      </c>
      <c r="P11" s="10">
        <v>0</v>
      </c>
      <c r="Q11" s="10">
        <v>15</v>
      </c>
      <c r="R11" s="10">
        <v>6</v>
      </c>
      <c r="S11" s="10">
        <v>0</v>
      </c>
      <c r="T11" s="10">
        <v>12</v>
      </c>
      <c r="U11" s="10">
        <v>8</v>
      </c>
      <c r="V11" s="10">
        <v>1</v>
      </c>
    </row>
    <row r="12" spans="1:22">
      <c r="A12" s="5">
        <v>10</v>
      </c>
      <c r="B12" s="5">
        <v>16</v>
      </c>
      <c r="C12" s="6">
        <v>2</v>
      </c>
      <c r="D12" s="6">
        <v>3</v>
      </c>
      <c r="E12" s="5">
        <v>14</v>
      </c>
      <c r="F12" s="6">
        <v>4</v>
      </c>
      <c r="G12" s="6">
        <v>3</v>
      </c>
      <c r="H12" s="5">
        <v>15</v>
      </c>
      <c r="I12" s="6">
        <v>4</v>
      </c>
      <c r="J12" s="7">
        <v>2</v>
      </c>
      <c r="M12" s="10">
        <v>9</v>
      </c>
      <c r="N12" s="10">
        <v>15</v>
      </c>
      <c r="O12" s="10">
        <v>2</v>
      </c>
      <c r="P12" s="10">
        <v>4</v>
      </c>
      <c r="Q12" s="10">
        <v>16</v>
      </c>
      <c r="R12" s="10">
        <v>3</v>
      </c>
      <c r="S12" s="10">
        <v>2</v>
      </c>
      <c r="T12" s="10">
        <v>13</v>
      </c>
      <c r="U12" s="10">
        <v>6</v>
      </c>
      <c r="V12" s="10">
        <v>2</v>
      </c>
    </row>
    <row r="13" spans="1:22">
      <c r="A13" s="5">
        <v>11</v>
      </c>
      <c r="B13" s="5">
        <v>18</v>
      </c>
      <c r="C13" s="6">
        <v>3</v>
      </c>
      <c r="D13" s="6">
        <v>0</v>
      </c>
      <c r="E13" s="5">
        <v>17</v>
      </c>
      <c r="F13" s="6">
        <v>2</v>
      </c>
      <c r="G13" s="6">
        <v>2</v>
      </c>
      <c r="H13" s="5">
        <v>15</v>
      </c>
      <c r="I13" s="6">
        <v>4</v>
      </c>
      <c r="J13" s="7">
        <v>2</v>
      </c>
      <c r="M13" s="10">
        <v>10</v>
      </c>
      <c r="N13" s="10">
        <v>16</v>
      </c>
      <c r="O13" s="10">
        <v>2</v>
      </c>
      <c r="P13" s="10">
        <v>3</v>
      </c>
      <c r="Q13" s="10">
        <v>14</v>
      </c>
      <c r="R13" s="10">
        <v>4</v>
      </c>
      <c r="S13" s="10">
        <v>3</v>
      </c>
      <c r="T13" s="10">
        <v>15</v>
      </c>
      <c r="U13" s="10">
        <v>4</v>
      </c>
      <c r="V13" s="10">
        <v>2</v>
      </c>
    </row>
    <row r="14" spans="1:22">
      <c r="A14" s="5">
        <v>12</v>
      </c>
      <c r="B14" s="5">
        <v>19</v>
      </c>
      <c r="C14" s="6">
        <v>2</v>
      </c>
      <c r="D14" s="6">
        <v>0</v>
      </c>
      <c r="E14" s="5">
        <v>17</v>
      </c>
      <c r="F14" s="6">
        <v>3</v>
      </c>
      <c r="G14" s="6">
        <v>1</v>
      </c>
      <c r="H14" s="5">
        <v>18</v>
      </c>
      <c r="I14" s="6">
        <v>2</v>
      </c>
      <c r="J14" s="7">
        <v>1</v>
      </c>
      <c r="M14" s="10">
        <v>11</v>
      </c>
      <c r="N14" s="10">
        <v>18</v>
      </c>
      <c r="O14" s="10">
        <v>3</v>
      </c>
      <c r="P14" s="10">
        <v>0</v>
      </c>
      <c r="Q14" s="10">
        <v>17</v>
      </c>
      <c r="R14" s="10">
        <v>2</v>
      </c>
      <c r="S14" s="10">
        <v>2</v>
      </c>
      <c r="T14" s="10">
        <v>15</v>
      </c>
      <c r="U14" s="10">
        <v>4</v>
      </c>
      <c r="V14" s="10">
        <v>2</v>
      </c>
    </row>
    <row r="15" spans="1:22">
      <c r="A15" s="5">
        <v>13</v>
      </c>
      <c r="B15" s="5">
        <v>11</v>
      </c>
      <c r="C15" s="6">
        <v>7</v>
      </c>
      <c r="D15" s="6">
        <v>3</v>
      </c>
      <c r="E15" s="5">
        <v>13</v>
      </c>
      <c r="F15" s="6">
        <v>6</v>
      </c>
      <c r="G15" s="6">
        <v>2</v>
      </c>
      <c r="H15" s="5">
        <v>15</v>
      </c>
      <c r="I15" s="6">
        <v>5</v>
      </c>
      <c r="J15" s="7">
        <v>1</v>
      </c>
      <c r="M15" s="10">
        <v>12</v>
      </c>
      <c r="N15" s="10">
        <v>19</v>
      </c>
      <c r="O15" s="10">
        <v>2</v>
      </c>
      <c r="P15" s="10">
        <v>0</v>
      </c>
      <c r="Q15" s="10">
        <v>17</v>
      </c>
      <c r="R15" s="10">
        <v>3</v>
      </c>
      <c r="S15" s="10">
        <v>1</v>
      </c>
      <c r="T15" s="10">
        <v>18</v>
      </c>
      <c r="U15" s="10">
        <v>2</v>
      </c>
      <c r="V15" s="10">
        <v>1</v>
      </c>
    </row>
    <row r="16" spans="1:22">
      <c r="A16" s="5">
        <v>14</v>
      </c>
      <c r="B16" s="5">
        <v>17</v>
      </c>
      <c r="C16" s="6">
        <v>4</v>
      </c>
      <c r="D16" s="6">
        <v>0</v>
      </c>
      <c r="E16" s="5">
        <v>16</v>
      </c>
      <c r="F16" s="6">
        <v>3</v>
      </c>
      <c r="G16" s="6">
        <v>2</v>
      </c>
      <c r="H16" s="5">
        <v>16</v>
      </c>
      <c r="I16" s="6">
        <v>3</v>
      </c>
      <c r="J16" s="7">
        <v>2</v>
      </c>
      <c r="M16" s="10">
        <v>13</v>
      </c>
      <c r="N16" s="10">
        <v>11</v>
      </c>
      <c r="O16" s="10">
        <v>7</v>
      </c>
      <c r="P16" s="10">
        <v>3</v>
      </c>
      <c r="Q16" s="10">
        <v>13</v>
      </c>
      <c r="R16" s="10">
        <v>6</v>
      </c>
      <c r="S16" s="10">
        <v>2</v>
      </c>
      <c r="T16" s="10">
        <v>15</v>
      </c>
      <c r="U16" s="10">
        <v>5</v>
      </c>
      <c r="V16" s="10">
        <v>1</v>
      </c>
    </row>
    <row r="17" spans="1:22">
      <c r="A17" s="5">
        <v>15</v>
      </c>
      <c r="B17" s="5">
        <v>18</v>
      </c>
      <c r="C17" s="6">
        <v>2</v>
      </c>
      <c r="D17" s="6">
        <v>1</v>
      </c>
      <c r="E17" s="5">
        <v>13</v>
      </c>
      <c r="F17" s="6">
        <v>8</v>
      </c>
      <c r="G17" s="6">
        <v>0</v>
      </c>
      <c r="H17" s="5">
        <v>13</v>
      </c>
      <c r="I17" s="6">
        <v>6</v>
      </c>
      <c r="J17" s="7">
        <v>2</v>
      </c>
      <c r="M17" s="10">
        <v>14</v>
      </c>
      <c r="N17" s="10">
        <v>17</v>
      </c>
      <c r="O17" s="10">
        <v>4</v>
      </c>
      <c r="P17" s="10">
        <v>0</v>
      </c>
      <c r="Q17" s="10">
        <v>16</v>
      </c>
      <c r="R17" s="10">
        <v>3</v>
      </c>
      <c r="S17" s="10">
        <v>2</v>
      </c>
      <c r="T17" s="10">
        <v>16</v>
      </c>
      <c r="U17" s="10">
        <v>3</v>
      </c>
      <c r="V17" s="10">
        <v>2</v>
      </c>
    </row>
    <row r="18" spans="1:22">
      <c r="A18" s="6">
        <v>16</v>
      </c>
      <c r="B18" s="6">
        <v>14</v>
      </c>
      <c r="C18" s="6">
        <v>6</v>
      </c>
      <c r="D18" s="6">
        <v>1</v>
      </c>
      <c r="E18" s="6">
        <v>16</v>
      </c>
      <c r="F18" s="6">
        <v>4</v>
      </c>
      <c r="G18" s="6">
        <v>1</v>
      </c>
      <c r="H18" s="6">
        <v>14</v>
      </c>
      <c r="I18" s="6">
        <v>6</v>
      </c>
      <c r="J18" s="6">
        <v>1</v>
      </c>
      <c r="M18" s="10">
        <v>15</v>
      </c>
      <c r="N18" s="10">
        <v>18</v>
      </c>
      <c r="O18" s="10">
        <v>2</v>
      </c>
      <c r="P18" s="10">
        <v>1</v>
      </c>
      <c r="Q18" s="10">
        <v>13</v>
      </c>
      <c r="R18" s="10">
        <v>8</v>
      </c>
      <c r="S18" s="10">
        <v>0</v>
      </c>
      <c r="T18" s="10">
        <v>13</v>
      </c>
      <c r="U18" s="10">
        <v>6</v>
      </c>
      <c r="V18" s="10">
        <v>2</v>
      </c>
    </row>
    <row r="19" spans="1:22">
      <c r="A19" s="6">
        <v>17</v>
      </c>
      <c r="B19" s="6">
        <v>18</v>
      </c>
      <c r="C19" s="6">
        <v>1</v>
      </c>
      <c r="D19" s="6">
        <v>2</v>
      </c>
      <c r="E19" s="6">
        <v>17</v>
      </c>
      <c r="F19" s="6">
        <v>3</v>
      </c>
      <c r="G19" s="6">
        <v>1</v>
      </c>
      <c r="H19" s="6">
        <v>15</v>
      </c>
      <c r="I19" s="6">
        <v>4</v>
      </c>
      <c r="J19" s="6">
        <v>2</v>
      </c>
    </row>
    <row r="20" spans="1:22">
      <c r="A20" s="6">
        <v>18</v>
      </c>
      <c r="B20" s="6">
        <v>15</v>
      </c>
      <c r="C20" s="6">
        <v>3</v>
      </c>
      <c r="D20" s="6">
        <v>3</v>
      </c>
      <c r="E20" s="6">
        <v>15</v>
      </c>
      <c r="F20" s="6">
        <v>4</v>
      </c>
      <c r="G20" s="6">
        <v>2</v>
      </c>
      <c r="H20" s="6">
        <v>10</v>
      </c>
      <c r="I20" s="6">
        <v>7</v>
      </c>
      <c r="J20" s="6">
        <v>4</v>
      </c>
      <c r="M20" s="51"/>
      <c r="N20" s="51"/>
      <c r="O20" s="51"/>
      <c r="P20" s="51"/>
      <c r="Q20" s="51"/>
      <c r="R20" s="51"/>
      <c r="S20" s="51"/>
      <c r="T20" s="51"/>
      <c r="U20" s="51"/>
      <c r="V20" s="51" t="s">
        <v>56</v>
      </c>
    </row>
    <row r="21" spans="1:22">
      <c r="A21" s="6">
        <v>19</v>
      </c>
      <c r="B21" s="6">
        <v>13</v>
      </c>
      <c r="C21" s="6">
        <v>6</v>
      </c>
      <c r="D21" s="6">
        <v>2</v>
      </c>
      <c r="E21" s="6">
        <v>13</v>
      </c>
      <c r="F21" s="6">
        <v>6</v>
      </c>
      <c r="G21" s="6">
        <v>2</v>
      </c>
      <c r="H21" s="6">
        <v>9</v>
      </c>
      <c r="I21" s="6">
        <v>9</v>
      </c>
      <c r="J21" s="6">
        <v>3</v>
      </c>
      <c r="M21" s="52"/>
      <c r="N21" s="56" t="s">
        <v>0</v>
      </c>
      <c r="O21" s="59"/>
      <c r="P21" s="59"/>
      <c r="Q21" s="56" t="s">
        <v>1</v>
      </c>
      <c r="R21" s="59"/>
      <c r="S21" s="59"/>
      <c r="T21" s="56" t="s">
        <v>2</v>
      </c>
      <c r="U21" s="59"/>
      <c r="V21" s="59"/>
    </row>
    <row r="22" spans="1:22">
      <c r="A22" s="6">
        <v>20</v>
      </c>
      <c r="B22" s="6">
        <v>16</v>
      </c>
      <c r="C22" s="6">
        <v>3</v>
      </c>
      <c r="D22" s="6">
        <v>2</v>
      </c>
      <c r="E22" s="6">
        <v>15</v>
      </c>
      <c r="F22" s="6">
        <v>5</v>
      </c>
      <c r="G22" s="6">
        <v>1</v>
      </c>
      <c r="H22" s="6">
        <v>17</v>
      </c>
      <c r="I22" s="6">
        <v>2</v>
      </c>
      <c r="J22" s="6">
        <v>2</v>
      </c>
      <c r="M22" s="53" t="s">
        <v>3</v>
      </c>
      <c r="N22" s="53" t="s">
        <v>4</v>
      </c>
      <c r="O22" s="53" t="s">
        <v>5</v>
      </c>
      <c r="P22" s="53" t="s">
        <v>6</v>
      </c>
      <c r="Q22" s="53" t="s">
        <v>4</v>
      </c>
      <c r="R22" s="53" t="s">
        <v>5</v>
      </c>
      <c r="S22" s="53" t="s">
        <v>6</v>
      </c>
      <c r="T22" s="53" t="s">
        <v>4</v>
      </c>
      <c r="U22" s="53" t="s">
        <v>5</v>
      </c>
      <c r="V22" s="53" t="s">
        <v>6</v>
      </c>
    </row>
    <row r="23" spans="1:22">
      <c r="A23" s="6">
        <v>21</v>
      </c>
      <c r="B23" s="6">
        <v>16</v>
      </c>
      <c r="C23" s="6">
        <v>3</v>
      </c>
      <c r="D23" s="6">
        <v>2</v>
      </c>
      <c r="E23" s="6">
        <v>11</v>
      </c>
      <c r="F23" s="6">
        <v>9</v>
      </c>
      <c r="G23" s="6">
        <v>1</v>
      </c>
      <c r="H23" s="6">
        <v>16</v>
      </c>
      <c r="I23" s="6">
        <v>4</v>
      </c>
      <c r="J23" s="6">
        <v>1</v>
      </c>
      <c r="M23" s="6">
        <v>16</v>
      </c>
      <c r="N23" s="6">
        <v>14</v>
      </c>
      <c r="O23" s="6">
        <v>6</v>
      </c>
      <c r="P23" s="6">
        <v>1</v>
      </c>
      <c r="Q23" s="6">
        <v>16</v>
      </c>
      <c r="R23" s="6">
        <v>4</v>
      </c>
      <c r="S23" s="6">
        <v>1</v>
      </c>
      <c r="T23" s="6">
        <v>14</v>
      </c>
      <c r="U23" s="6">
        <v>6</v>
      </c>
      <c r="V23" s="6">
        <v>1</v>
      </c>
    </row>
    <row r="24" spans="1:22">
      <c r="A24" s="6">
        <v>22</v>
      </c>
      <c r="B24" s="6">
        <v>16</v>
      </c>
      <c r="C24" s="6">
        <v>4</v>
      </c>
      <c r="D24" s="6">
        <v>1</v>
      </c>
      <c r="E24" s="6">
        <v>16</v>
      </c>
      <c r="F24" s="6">
        <v>3</v>
      </c>
      <c r="G24" s="6">
        <v>2</v>
      </c>
      <c r="H24" s="6">
        <v>16</v>
      </c>
      <c r="I24" s="6">
        <v>3</v>
      </c>
      <c r="J24" s="6">
        <v>2</v>
      </c>
      <c r="M24" s="6">
        <v>17</v>
      </c>
      <c r="N24" s="6">
        <v>18</v>
      </c>
      <c r="O24" s="6">
        <v>1</v>
      </c>
      <c r="P24" s="6">
        <v>2</v>
      </c>
      <c r="Q24" s="6">
        <v>17</v>
      </c>
      <c r="R24" s="6">
        <v>3</v>
      </c>
      <c r="S24" s="6">
        <v>1</v>
      </c>
      <c r="T24" s="6">
        <v>15</v>
      </c>
      <c r="U24" s="6">
        <v>4</v>
      </c>
      <c r="V24" s="6">
        <v>2</v>
      </c>
    </row>
    <row r="25" spans="1:22">
      <c r="A25" s="6">
        <v>23</v>
      </c>
      <c r="B25" s="6">
        <v>18</v>
      </c>
      <c r="C25" s="6">
        <v>2</v>
      </c>
      <c r="D25" s="6">
        <v>1</v>
      </c>
      <c r="E25" s="6">
        <v>18</v>
      </c>
      <c r="F25" s="6">
        <v>2</v>
      </c>
      <c r="G25" s="6">
        <v>1</v>
      </c>
      <c r="H25" s="6">
        <v>14</v>
      </c>
      <c r="I25" s="6">
        <v>4</v>
      </c>
      <c r="J25" s="6">
        <v>3</v>
      </c>
      <c r="M25" s="6">
        <v>18</v>
      </c>
      <c r="N25" s="6">
        <v>15</v>
      </c>
      <c r="O25" s="6">
        <v>3</v>
      </c>
      <c r="P25" s="6">
        <v>3</v>
      </c>
      <c r="Q25" s="6">
        <v>15</v>
      </c>
      <c r="R25" s="6">
        <v>4</v>
      </c>
      <c r="S25" s="6">
        <v>2</v>
      </c>
      <c r="T25" s="6">
        <v>10</v>
      </c>
      <c r="U25" s="6">
        <v>7</v>
      </c>
      <c r="V25" s="6">
        <v>4</v>
      </c>
    </row>
    <row r="26" spans="1:22">
      <c r="A26" s="6">
        <v>24</v>
      </c>
      <c r="B26" s="6">
        <v>14</v>
      </c>
      <c r="C26" s="6">
        <v>5</v>
      </c>
      <c r="D26" s="6">
        <v>2</v>
      </c>
      <c r="E26" s="6">
        <v>13</v>
      </c>
      <c r="F26" s="6">
        <v>5</v>
      </c>
      <c r="G26" s="6">
        <v>3</v>
      </c>
      <c r="H26" s="6">
        <v>15</v>
      </c>
      <c r="I26" s="6">
        <v>4</v>
      </c>
      <c r="J26" s="6">
        <v>2</v>
      </c>
      <c r="M26" s="6">
        <v>19</v>
      </c>
      <c r="N26" s="6">
        <v>13</v>
      </c>
      <c r="O26" s="6">
        <v>6</v>
      </c>
      <c r="P26" s="6">
        <v>2</v>
      </c>
      <c r="Q26" s="6">
        <v>13</v>
      </c>
      <c r="R26" s="6">
        <v>6</v>
      </c>
      <c r="S26" s="6">
        <v>2</v>
      </c>
      <c r="T26" s="6">
        <v>9</v>
      </c>
      <c r="U26" s="6">
        <v>9</v>
      </c>
      <c r="V26" s="6">
        <v>3</v>
      </c>
    </row>
    <row r="27" spans="1:22">
      <c r="A27" s="6">
        <v>25</v>
      </c>
      <c r="B27" s="6">
        <v>16</v>
      </c>
      <c r="C27" s="6">
        <v>5</v>
      </c>
      <c r="D27" s="6">
        <v>0</v>
      </c>
      <c r="E27" s="6">
        <v>16</v>
      </c>
      <c r="F27" s="6">
        <v>5</v>
      </c>
      <c r="G27" s="6">
        <v>0</v>
      </c>
      <c r="H27" s="6">
        <v>16</v>
      </c>
      <c r="I27" s="6">
        <v>5</v>
      </c>
      <c r="J27" s="6">
        <v>0</v>
      </c>
      <c r="M27" s="6">
        <v>20</v>
      </c>
      <c r="N27" s="6">
        <v>16</v>
      </c>
      <c r="O27" s="6">
        <v>3</v>
      </c>
      <c r="P27" s="6">
        <v>2</v>
      </c>
      <c r="Q27" s="6">
        <v>15</v>
      </c>
      <c r="R27" s="6">
        <v>5</v>
      </c>
      <c r="S27" s="6">
        <v>1</v>
      </c>
      <c r="T27" s="6">
        <v>17</v>
      </c>
      <c r="U27" s="6">
        <v>2</v>
      </c>
      <c r="V27" s="6">
        <v>2</v>
      </c>
    </row>
    <row r="28" spans="1:22">
      <c r="A28" s="6">
        <v>26</v>
      </c>
      <c r="B28" s="6">
        <v>13</v>
      </c>
      <c r="C28" s="6">
        <v>6</v>
      </c>
      <c r="D28" s="6">
        <v>2</v>
      </c>
      <c r="E28" s="6">
        <v>12</v>
      </c>
      <c r="F28" s="6">
        <v>7</v>
      </c>
      <c r="G28" s="6">
        <v>2</v>
      </c>
      <c r="H28" s="6">
        <v>15</v>
      </c>
      <c r="I28" s="6">
        <v>4</v>
      </c>
      <c r="J28" s="6">
        <v>2</v>
      </c>
      <c r="M28" s="6">
        <v>21</v>
      </c>
      <c r="N28" s="6">
        <v>16</v>
      </c>
      <c r="O28" s="6">
        <v>3</v>
      </c>
      <c r="P28" s="6">
        <v>2</v>
      </c>
      <c r="Q28" s="6">
        <v>11</v>
      </c>
      <c r="R28" s="6">
        <v>9</v>
      </c>
      <c r="S28" s="6">
        <v>1</v>
      </c>
      <c r="T28" s="6">
        <v>16</v>
      </c>
      <c r="U28" s="6">
        <v>4</v>
      </c>
      <c r="V28" s="6">
        <v>1</v>
      </c>
    </row>
    <row r="29" spans="1:22">
      <c r="A29" s="6">
        <v>27</v>
      </c>
      <c r="B29" s="6">
        <v>13</v>
      </c>
      <c r="C29" s="6">
        <v>4</v>
      </c>
      <c r="D29" s="6">
        <v>4</v>
      </c>
      <c r="E29" s="16">
        <v>14</v>
      </c>
      <c r="F29" s="16">
        <v>4</v>
      </c>
      <c r="G29" s="16">
        <v>3</v>
      </c>
      <c r="H29" s="6">
        <v>19</v>
      </c>
      <c r="I29" s="6">
        <v>1</v>
      </c>
      <c r="J29" s="6">
        <v>1</v>
      </c>
      <c r="M29" s="6">
        <v>22</v>
      </c>
      <c r="N29" s="6">
        <v>16</v>
      </c>
      <c r="O29" s="6">
        <v>4</v>
      </c>
      <c r="P29" s="6">
        <v>1</v>
      </c>
      <c r="Q29" s="6">
        <v>16</v>
      </c>
      <c r="R29" s="6">
        <v>3</v>
      </c>
      <c r="S29" s="6">
        <v>2</v>
      </c>
      <c r="T29" s="6">
        <v>16</v>
      </c>
      <c r="U29" s="6">
        <v>3</v>
      </c>
      <c r="V29" s="6">
        <v>2</v>
      </c>
    </row>
    <row r="30" spans="1:22">
      <c r="A30" s="6">
        <v>28</v>
      </c>
      <c r="B30" s="6">
        <v>11</v>
      </c>
      <c r="C30" s="6">
        <v>6</v>
      </c>
      <c r="D30" s="6">
        <v>4</v>
      </c>
      <c r="E30" s="6">
        <v>14</v>
      </c>
      <c r="F30" s="6">
        <v>7</v>
      </c>
      <c r="G30" s="6">
        <v>0</v>
      </c>
      <c r="H30" s="6">
        <v>13</v>
      </c>
      <c r="I30" s="6">
        <v>7</v>
      </c>
      <c r="J30" s="6">
        <v>1</v>
      </c>
      <c r="M30" s="6">
        <v>23</v>
      </c>
      <c r="N30" s="6">
        <v>18</v>
      </c>
      <c r="O30" s="6">
        <v>2</v>
      </c>
      <c r="P30" s="6">
        <v>1</v>
      </c>
      <c r="Q30" s="6">
        <v>18</v>
      </c>
      <c r="R30" s="6">
        <v>2</v>
      </c>
      <c r="S30" s="6">
        <v>1</v>
      </c>
      <c r="T30" s="6">
        <v>14</v>
      </c>
      <c r="U30" s="6">
        <v>4</v>
      </c>
      <c r="V30" s="6">
        <v>3</v>
      </c>
    </row>
    <row r="31" spans="1:22">
      <c r="A31" s="6">
        <v>29</v>
      </c>
      <c r="B31" s="6">
        <v>10</v>
      </c>
      <c r="C31" s="6">
        <v>6</v>
      </c>
      <c r="D31" s="6">
        <v>5</v>
      </c>
      <c r="E31" s="6">
        <v>14</v>
      </c>
      <c r="F31" s="6">
        <v>7</v>
      </c>
      <c r="G31" s="6">
        <v>0</v>
      </c>
      <c r="H31" s="6">
        <v>10</v>
      </c>
      <c r="I31" s="6">
        <v>9</v>
      </c>
      <c r="J31" s="6">
        <v>2</v>
      </c>
      <c r="M31" s="6">
        <v>24</v>
      </c>
      <c r="N31" s="6">
        <v>14</v>
      </c>
      <c r="O31" s="6">
        <v>5</v>
      </c>
      <c r="P31" s="6">
        <v>2</v>
      </c>
      <c r="Q31" s="6">
        <v>13</v>
      </c>
      <c r="R31" s="6">
        <v>5</v>
      </c>
      <c r="S31" s="6">
        <v>3</v>
      </c>
      <c r="T31" s="6">
        <v>15</v>
      </c>
      <c r="U31" s="6">
        <v>4</v>
      </c>
      <c r="V31" s="6">
        <v>2</v>
      </c>
    </row>
    <row r="32" spans="1:22">
      <c r="A32" s="6">
        <v>30</v>
      </c>
      <c r="B32" s="6">
        <v>4</v>
      </c>
      <c r="C32" s="6">
        <v>5</v>
      </c>
      <c r="D32" s="6">
        <v>12</v>
      </c>
      <c r="E32" s="6">
        <v>14</v>
      </c>
      <c r="F32" s="6">
        <v>4</v>
      </c>
      <c r="G32" s="6">
        <v>3</v>
      </c>
      <c r="H32" s="6">
        <v>14</v>
      </c>
      <c r="I32" s="6">
        <v>7</v>
      </c>
      <c r="J32" s="6">
        <v>0</v>
      </c>
      <c r="M32" s="6">
        <v>25</v>
      </c>
      <c r="N32" s="6">
        <v>16</v>
      </c>
      <c r="O32" s="6">
        <v>5</v>
      </c>
      <c r="P32" s="6">
        <v>0</v>
      </c>
      <c r="Q32" s="6">
        <v>16</v>
      </c>
      <c r="R32" s="6">
        <v>5</v>
      </c>
      <c r="S32" s="6">
        <v>0</v>
      </c>
      <c r="T32" s="6">
        <v>16</v>
      </c>
      <c r="U32" s="6">
        <v>5</v>
      </c>
      <c r="V32" s="6">
        <v>0</v>
      </c>
    </row>
    <row r="33" spans="1:22">
      <c r="A33" s="1" t="s">
        <v>12</v>
      </c>
      <c r="B33" s="6">
        <v>452</v>
      </c>
      <c r="C33" s="6">
        <v>113</v>
      </c>
      <c r="D33" s="6">
        <v>65</v>
      </c>
      <c r="E33" s="6">
        <v>444</v>
      </c>
      <c r="F33" s="6">
        <v>143</v>
      </c>
      <c r="G33" s="6">
        <v>43</v>
      </c>
      <c r="H33" s="6">
        <v>417</v>
      </c>
      <c r="I33" s="6">
        <v>156</v>
      </c>
      <c r="J33" s="6">
        <v>57</v>
      </c>
      <c r="M33" s="6">
        <v>26</v>
      </c>
      <c r="N33" s="6">
        <v>13</v>
      </c>
      <c r="O33" s="6">
        <v>6</v>
      </c>
      <c r="P33" s="6">
        <v>2</v>
      </c>
      <c r="Q33" s="6">
        <v>12</v>
      </c>
      <c r="R33" s="6">
        <v>7</v>
      </c>
      <c r="S33" s="6">
        <v>2</v>
      </c>
      <c r="T33" s="6">
        <v>15</v>
      </c>
      <c r="U33" s="6">
        <v>4</v>
      </c>
      <c r="V33" s="6">
        <v>2</v>
      </c>
    </row>
    <row r="34" spans="1:22">
      <c r="M34" s="6">
        <v>27</v>
      </c>
      <c r="N34" s="6">
        <v>13</v>
      </c>
      <c r="O34" s="6">
        <v>4</v>
      </c>
      <c r="P34" s="6">
        <v>4</v>
      </c>
      <c r="Q34" s="16">
        <v>14</v>
      </c>
      <c r="R34" s="16">
        <v>4</v>
      </c>
      <c r="S34" s="16">
        <v>3</v>
      </c>
      <c r="T34" s="6">
        <v>19</v>
      </c>
      <c r="U34" s="6">
        <v>1</v>
      </c>
      <c r="V34" s="6">
        <v>1</v>
      </c>
    </row>
    <row r="35" spans="1:22">
      <c r="M35" s="6">
        <v>28</v>
      </c>
      <c r="N35" s="6">
        <v>11</v>
      </c>
      <c r="O35" s="6">
        <v>6</v>
      </c>
      <c r="P35" s="6">
        <v>4</v>
      </c>
      <c r="Q35" s="6">
        <v>14</v>
      </c>
      <c r="R35" s="6">
        <v>7</v>
      </c>
      <c r="S35" s="6">
        <v>0</v>
      </c>
      <c r="T35" s="6">
        <v>13</v>
      </c>
      <c r="U35" s="6">
        <v>7</v>
      </c>
      <c r="V35" s="6">
        <v>1</v>
      </c>
    </row>
    <row r="36" spans="1:22">
      <c r="M36" s="6">
        <v>29</v>
      </c>
      <c r="N36" s="6">
        <v>10</v>
      </c>
      <c r="O36" s="6">
        <v>6</v>
      </c>
      <c r="P36" s="6">
        <v>5</v>
      </c>
      <c r="Q36" s="6">
        <v>14</v>
      </c>
      <c r="R36" s="6">
        <v>7</v>
      </c>
      <c r="S36" s="6">
        <v>0</v>
      </c>
      <c r="T36" s="6">
        <v>10</v>
      </c>
      <c r="U36" s="6">
        <v>9</v>
      </c>
      <c r="V36" s="6">
        <v>2</v>
      </c>
    </row>
    <row r="37" spans="1:22">
      <c r="M37" s="6">
        <v>30</v>
      </c>
      <c r="N37" s="6">
        <v>4</v>
      </c>
      <c r="O37" s="6">
        <v>5</v>
      </c>
      <c r="P37" s="6">
        <v>12</v>
      </c>
      <c r="Q37" s="6">
        <v>14</v>
      </c>
      <c r="R37" s="6">
        <v>4</v>
      </c>
      <c r="S37" s="6">
        <v>3</v>
      </c>
      <c r="T37" s="6">
        <v>14</v>
      </c>
      <c r="U37" s="6">
        <v>7</v>
      </c>
      <c r="V37" s="6">
        <v>0</v>
      </c>
    </row>
    <row r="38" spans="1:22">
      <c r="M38" s="54" t="s">
        <v>12</v>
      </c>
      <c r="N38" s="12">
        <v>452</v>
      </c>
      <c r="O38" s="12">
        <v>113</v>
      </c>
      <c r="P38" s="12">
        <v>65</v>
      </c>
      <c r="Q38" s="12">
        <v>444</v>
      </c>
      <c r="R38" s="12">
        <v>143</v>
      </c>
      <c r="S38" s="12">
        <v>43</v>
      </c>
      <c r="T38" s="12">
        <v>417</v>
      </c>
      <c r="U38" s="12">
        <v>156</v>
      </c>
      <c r="V38" s="12">
        <v>57</v>
      </c>
    </row>
  </sheetData>
  <mergeCells count="9">
    <mergeCell ref="N21:P21"/>
    <mergeCell ref="Q21:S21"/>
    <mergeCell ref="T21:V21"/>
    <mergeCell ref="B1:D1"/>
    <mergeCell ref="E1:G1"/>
    <mergeCell ref="H1:J1"/>
    <mergeCell ref="N2:P2"/>
    <mergeCell ref="Q2:S2"/>
    <mergeCell ref="T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3"/>
  <sheetViews>
    <sheetView workbookViewId="0"/>
  </sheetViews>
  <sheetFormatPr defaultColWidth="11.25" defaultRowHeight="15" customHeight="1"/>
  <sheetData>
    <row r="1" spans="1:5">
      <c r="A1" s="26" t="s">
        <v>57</v>
      </c>
      <c r="B1" s="27" t="s">
        <v>58</v>
      </c>
      <c r="C1" s="27" t="s">
        <v>5</v>
      </c>
      <c r="D1" s="27" t="s">
        <v>6</v>
      </c>
      <c r="E1" s="28" t="s">
        <v>59</v>
      </c>
    </row>
    <row r="2" spans="1:5">
      <c r="A2" s="29" t="s">
        <v>60</v>
      </c>
      <c r="B2" s="29">
        <v>452</v>
      </c>
      <c r="C2" s="29">
        <v>113</v>
      </c>
      <c r="D2" s="30">
        <v>65</v>
      </c>
      <c r="E2" s="28">
        <f t="shared" ref="E2:E3" si="0">SUM(B2:D2)</f>
        <v>630</v>
      </c>
    </row>
    <row r="3" spans="1:5">
      <c r="A3" s="29" t="s">
        <v>61</v>
      </c>
      <c r="B3" s="29">
        <v>444</v>
      </c>
      <c r="C3" s="29">
        <v>143</v>
      </c>
      <c r="D3" s="30">
        <v>43</v>
      </c>
      <c r="E3" s="28">
        <f t="shared" si="0"/>
        <v>630</v>
      </c>
    </row>
    <row r="5" spans="1:5">
      <c r="A5" s="57" t="s">
        <v>62</v>
      </c>
      <c r="B5" s="31">
        <f>E2*SUM(B2:B3)/SUM(E2:E3)</f>
        <v>448</v>
      </c>
      <c r="C5" s="31">
        <f>E2*SUM(C2:C3)/SUM(E2:E3)</f>
        <v>128</v>
      </c>
      <c r="D5" s="31">
        <f>E2*SUM(D2:D3)/SUM(E2:E3)</f>
        <v>54</v>
      </c>
      <c r="E5" s="29"/>
    </row>
    <row r="6" spans="1:5">
      <c r="A6" s="60"/>
      <c r="B6" s="31">
        <f>E3*SUM(B2:B3)/SUM(E2:E3)</f>
        <v>448</v>
      </c>
      <c r="C6" s="31">
        <f>E3*SUM(C2:C3)/SUM(E2:E3)</f>
        <v>128</v>
      </c>
      <c r="D6" s="31">
        <f>E3*SUM(D2:D3)/SUM(E2:E3)</f>
        <v>54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1.7698639151484168E-2</v>
      </c>
      <c r="C9" s="17" t="s">
        <v>64</v>
      </c>
    </row>
    <row r="10" spans="1:5">
      <c r="B10" s="34" t="s">
        <v>65</v>
      </c>
      <c r="C10" s="32" t="s">
        <v>66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8"/>
  <sheetViews>
    <sheetView workbookViewId="0"/>
  </sheetViews>
  <sheetFormatPr defaultColWidth="11.25" defaultRowHeight="15" customHeight="1"/>
  <sheetData>
    <row r="1" spans="1:4">
      <c r="A1" s="26" t="s">
        <v>57</v>
      </c>
      <c r="B1" s="27" t="s">
        <v>58</v>
      </c>
      <c r="C1" s="27" t="s">
        <v>6</v>
      </c>
      <c r="D1" s="28" t="s">
        <v>59</v>
      </c>
    </row>
    <row r="2" spans="1:4">
      <c r="A2" s="29" t="s">
        <v>60</v>
      </c>
      <c r="B2" s="29">
        <v>452</v>
      </c>
      <c r="C2" s="30">
        <v>65</v>
      </c>
      <c r="D2" s="28">
        <f t="shared" ref="D2:D3" si="0">SUM(B2:C2)</f>
        <v>517</v>
      </c>
    </row>
    <row r="3" spans="1:4">
      <c r="A3" s="29" t="s">
        <v>61</v>
      </c>
      <c r="B3" s="29">
        <v>444</v>
      </c>
      <c r="C3" s="30">
        <v>43</v>
      </c>
      <c r="D3" s="28">
        <f t="shared" si="0"/>
        <v>487</v>
      </c>
    </row>
    <row r="5" spans="1:4">
      <c r="A5" s="57" t="s">
        <v>62</v>
      </c>
      <c r="B5" s="31">
        <f>D2*SUM(B2:B3)/SUM(D2:D3)</f>
        <v>461.38645418326695</v>
      </c>
      <c r="C5" s="31">
        <f>D2*SUM(C2:C3)/SUM(D2:D3)</f>
        <v>55.613545816733065</v>
      </c>
      <c r="D5" s="29"/>
    </row>
    <row r="6" spans="1:4">
      <c r="A6" s="60"/>
      <c r="B6" s="31">
        <f>D3*SUM(B2:B3)/SUM(D2:D3)</f>
        <v>434.61354581673305</v>
      </c>
      <c r="C6" s="31">
        <f>D3*SUM(C2:C3)/SUM(D2:D3)</f>
        <v>52.386454183266935</v>
      </c>
      <c r="D6" s="29"/>
    </row>
    <row r="8" spans="1:4">
      <c r="A8" s="17" t="s">
        <v>67</v>
      </c>
      <c r="B8" s="17">
        <f t="shared" ref="B8:C9" si="1">_xlfn.SINGLE((B2 - B5 ^ 2)) / B5</f>
        <v>-460.40679820095136</v>
      </c>
      <c r="C8" s="17">
        <f t="shared" si="1"/>
        <v>-54.444765818165834</v>
      </c>
    </row>
    <row r="9" spans="1:4">
      <c r="B9" s="17">
        <f t="shared" si="1"/>
        <v>-433.59194857413991</v>
      </c>
      <c r="C9" s="17">
        <f t="shared" si="1"/>
        <v>-51.565631307002583</v>
      </c>
    </row>
    <row r="10" spans="1:4">
      <c r="B10" s="32">
        <f>SUM(B8:C9)</f>
        <v>-1000.0091439002597</v>
      </c>
    </row>
    <row r="12" spans="1:4">
      <c r="B12" s="17" t="e">
        <f>_xlfn.CHISQ.DIST.RT(B10,2)</f>
        <v>#NUM!</v>
      </c>
    </row>
    <row r="13" spans="1:4">
      <c r="A13" s="17"/>
      <c r="B13" s="33"/>
    </row>
    <row r="14" spans="1:4">
      <c r="A14" s="17" t="s">
        <v>63</v>
      </c>
      <c r="B14" s="21">
        <f>_xlfn.CHISQ.TEST(B2:C3,B5:C6)</f>
        <v>5.5741551377097229E-2</v>
      </c>
      <c r="C14" s="32" t="s">
        <v>64</v>
      </c>
    </row>
    <row r="15" spans="1:4">
      <c r="B15" s="34" t="s">
        <v>65</v>
      </c>
      <c r="C15" s="17" t="s">
        <v>66</v>
      </c>
    </row>
    <row r="18" spans="10:10">
      <c r="J18" s="35">
        <v>5.5742E-2</v>
      </c>
    </row>
    <row r="19" spans="10:10" ht="15.75" customHeight="1"/>
    <row r="20" spans="10:10" ht="15.75" customHeight="1"/>
    <row r="21" spans="10:10" ht="15.75" customHeight="1"/>
    <row r="22" spans="10:10" ht="15.75" customHeight="1"/>
    <row r="23" spans="10:10" ht="15.75" customHeight="1"/>
    <row r="24" spans="10:10" ht="15.75" customHeight="1"/>
    <row r="25" spans="10:10" ht="15.75" customHeight="1"/>
    <row r="26" spans="10:10" ht="15.75" customHeight="1"/>
    <row r="27" spans="10:10" ht="15.75" customHeight="1"/>
    <row r="28" spans="10:10" ht="15.75" customHeight="1"/>
    <row r="29" spans="10:10" ht="15.75" customHeight="1"/>
    <row r="30" spans="10:10" ht="15.75" customHeight="1"/>
    <row r="31" spans="10:10" ht="15.75" customHeight="1"/>
    <row r="32" spans="10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98"/>
  <sheetViews>
    <sheetView workbookViewId="0"/>
  </sheetViews>
  <sheetFormatPr defaultColWidth="11.25" defaultRowHeight="15" customHeight="1"/>
  <sheetData>
    <row r="1" spans="1:5">
      <c r="A1" s="26" t="s">
        <v>57</v>
      </c>
      <c r="B1" s="27" t="s">
        <v>58</v>
      </c>
      <c r="C1" s="27" t="s">
        <v>5</v>
      </c>
      <c r="D1" s="27" t="s">
        <v>6</v>
      </c>
      <c r="E1" s="28" t="s">
        <v>59</v>
      </c>
    </row>
    <row r="2" spans="1:5">
      <c r="A2" s="29" t="s">
        <v>60</v>
      </c>
      <c r="B2" s="29">
        <v>400</v>
      </c>
      <c r="C2" s="29">
        <v>100</v>
      </c>
      <c r="D2" s="30">
        <v>40</v>
      </c>
      <c r="E2" s="28">
        <f t="shared" ref="E2:E3" si="0">SUM(B2:D2)</f>
        <v>540</v>
      </c>
    </row>
    <row r="3" spans="1:5">
      <c r="A3" s="29" t="s">
        <v>61</v>
      </c>
      <c r="B3" s="29">
        <v>404</v>
      </c>
      <c r="C3" s="29">
        <v>115</v>
      </c>
      <c r="D3" s="30">
        <v>21</v>
      </c>
      <c r="E3" s="28">
        <f t="shared" si="0"/>
        <v>540</v>
      </c>
    </row>
    <row r="5" spans="1:5">
      <c r="A5" s="57" t="s">
        <v>62</v>
      </c>
      <c r="B5" s="31">
        <f>E2*SUM(B2:B3)/SUM(E2:E3)</f>
        <v>402</v>
      </c>
      <c r="C5" s="31">
        <f>E2*SUM(C2:C3)/SUM(E2:E3)</f>
        <v>107.5</v>
      </c>
      <c r="D5" s="31">
        <f>E2*SUM(D2:D3)/SUM(E2:E3)</f>
        <v>30.5</v>
      </c>
      <c r="E5" s="29"/>
    </row>
    <row r="6" spans="1:5">
      <c r="A6" s="60"/>
      <c r="B6" s="31">
        <f>E3*SUM(B2:B3)/SUM(E2:E3)</f>
        <v>402</v>
      </c>
      <c r="C6" s="31">
        <f>E3*SUM(C2:C3)/SUM(E2:E3)</f>
        <v>107.5</v>
      </c>
      <c r="D6" s="31">
        <f>E3*SUM(D2:D3)/SUM(E2:E3)</f>
        <v>30.5</v>
      </c>
      <c r="E6" s="29"/>
    </row>
    <row r="8" spans="1:5">
      <c r="A8" s="17" t="s">
        <v>67</v>
      </c>
      <c r="B8" s="17">
        <f t="shared" ref="B8:D9" si="1">_xlfn.SINGLE((B2 - B5 ^ 2)) / B5</f>
        <v>-401.00497512437812</v>
      </c>
      <c r="C8" s="17">
        <f t="shared" si="1"/>
        <v>-106.56976744186046</v>
      </c>
      <c r="D8" s="17">
        <f t="shared" si="1"/>
        <v>-29.188524590163933</v>
      </c>
    </row>
    <row r="9" spans="1:5">
      <c r="B9" s="17">
        <f t="shared" si="1"/>
        <v>-400.99502487562188</v>
      </c>
      <c r="C9" s="17">
        <f t="shared" si="1"/>
        <v>-106.43023255813954</v>
      </c>
      <c r="D9" s="17">
        <f t="shared" si="1"/>
        <v>-29.811475409836067</v>
      </c>
    </row>
    <row r="10" spans="1:5">
      <c r="B10" s="32">
        <f>SUM(B8:D9)</f>
        <v>-1074</v>
      </c>
    </row>
    <row r="12" spans="1:5">
      <c r="B12" s="17" t="e">
        <f>_xlfn.CHISQ.DIST.RT(B10,2)</f>
        <v>#NUM!</v>
      </c>
    </row>
    <row r="13" spans="1:5">
      <c r="A13" s="17"/>
      <c r="B13" s="33"/>
    </row>
    <row r="14" spans="1:5">
      <c r="A14" s="17" t="s">
        <v>63</v>
      </c>
      <c r="B14" s="21">
        <f>_xlfn.CHISQ.TEST(B2:D3,B5:D6)</f>
        <v>3.0433160591088766E-2</v>
      </c>
      <c r="C14" s="17" t="s">
        <v>64</v>
      </c>
    </row>
    <row r="15" spans="1:5">
      <c r="B15" s="34" t="s">
        <v>65</v>
      </c>
      <c r="C15" s="32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3"/>
  <sheetViews>
    <sheetView workbookViewId="0"/>
  </sheetViews>
  <sheetFormatPr defaultColWidth="11.25" defaultRowHeight="15" customHeight="1"/>
  <sheetData>
    <row r="1" spans="1:5">
      <c r="A1" s="26" t="s">
        <v>57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68</v>
      </c>
      <c r="B2" s="29">
        <v>417</v>
      </c>
      <c r="C2" s="29">
        <v>156</v>
      </c>
      <c r="D2" s="30">
        <v>57</v>
      </c>
      <c r="E2" s="28">
        <f t="shared" ref="E2:E3" si="0">SUM(B2:D2)</f>
        <v>630</v>
      </c>
    </row>
    <row r="3" spans="1:5">
      <c r="A3" s="29" t="s">
        <v>61</v>
      </c>
      <c r="B3" s="29">
        <v>444</v>
      </c>
      <c r="C3" s="29">
        <v>143</v>
      </c>
      <c r="D3" s="30">
        <v>43</v>
      </c>
      <c r="E3" s="28">
        <f t="shared" si="0"/>
        <v>630</v>
      </c>
    </row>
    <row r="5" spans="1:5">
      <c r="A5" s="57" t="s">
        <v>62</v>
      </c>
      <c r="B5" s="31">
        <f>E2*SUM(B2:B3)/SUM(E2:E3)</f>
        <v>430.5</v>
      </c>
      <c r="C5" s="31">
        <f>E2*SUM(C2:C3)/SUM(E2:E3)</f>
        <v>149.5</v>
      </c>
      <c r="D5" s="31">
        <f>E2*SUM(D2:D3)/SUM(E2:E3)</f>
        <v>50</v>
      </c>
      <c r="E5" s="29"/>
    </row>
    <row r="6" spans="1:5">
      <c r="A6" s="60"/>
      <c r="B6" s="31">
        <f>E3*SUM(B2:B3)/SUM(E2:E3)</f>
        <v>430.5</v>
      </c>
      <c r="C6" s="31">
        <f>E3*SUM(C2:C3)/SUM(E2:E3)</f>
        <v>149.5</v>
      </c>
      <c r="D6" s="31">
        <f>E3*SUM(D2:D3)/SUM(E2:E3)</f>
        <v>50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0.18526766839780773</v>
      </c>
      <c r="C9" s="32" t="s">
        <v>69</v>
      </c>
    </row>
    <row r="10" spans="1:5">
      <c r="B10" s="34" t="s">
        <v>65</v>
      </c>
      <c r="C10" s="17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98"/>
  <sheetViews>
    <sheetView workbookViewId="0"/>
  </sheetViews>
  <sheetFormatPr defaultColWidth="11.25" defaultRowHeight="15" customHeight="1"/>
  <sheetData>
    <row r="1" spans="1:4">
      <c r="A1" s="26" t="s">
        <v>57</v>
      </c>
      <c r="B1" s="27" t="s">
        <v>58</v>
      </c>
      <c r="C1" s="27" t="s">
        <v>6</v>
      </c>
      <c r="D1" s="28" t="s">
        <v>59</v>
      </c>
    </row>
    <row r="2" spans="1:4">
      <c r="A2" s="29" t="s">
        <v>68</v>
      </c>
      <c r="B2" s="6">
        <v>417</v>
      </c>
      <c r="C2" s="36">
        <v>57</v>
      </c>
      <c r="D2" s="28">
        <f t="shared" ref="D2:D3" si="0">SUM(B2:C2)</f>
        <v>474</v>
      </c>
    </row>
    <row r="3" spans="1:4">
      <c r="A3" s="29" t="s">
        <v>61</v>
      </c>
      <c r="B3" s="29">
        <v>444</v>
      </c>
      <c r="C3" s="30">
        <v>43</v>
      </c>
      <c r="D3" s="28">
        <f t="shared" si="0"/>
        <v>487</v>
      </c>
    </row>
    <row r="5" spans="1:4">
      <c r="A5" s="57" t="s">
        <v>62</v>
      </c>
      <c r="B5" s="31">
        <f>D2*SUM(B2:B3)/SUM(D2:D3)</f>
        <v>424.6763787721124</v>
      </c>
      <c r="C5" s="31">
        <f>D2*SUM(C2:C3)/SUM(D2:D3)</f>
        <v>49.323621227887614</v>
      </c>
      <c r="D5" s="29"/>
    </row>
    <row r="6" spans="1:4">
      <c r="A6" s="60"/>
      <c r="B6" s="31">
        <f>D3*SUM(B2:B3)/SUM(D2:D3)</f>
        <v>436.3236212278876</v>
      </c>
      <c r="C6" s="31">
        <f>D3*SUM(C2:C3)/SUM(D2:D3)</f>
        <v>50.676378772112386</v>
      </c>
      <c r="D6" s="29"/>
    </row>
    <row r="8" spans="1:4">
      <c r="A8" s="17" t="s">
        <v>67</v>
      </c>
      <c r="B8" s="17">
        <f t="shared" ref="B8:C9" si="1">_xlfn.SINGLE((B2 - B5 ^ 2)) / B5</f>
        <v>-423.69445460386527</v>
      </c>
      <c r="C8" s="17">
        <f t="shared" si="1"/>
        <v>-48.167988316495205</v>
      </c>
    </row>
    <row r="9" spans="1:4">
      <c r="B9" s="17">
        <f t="shared" si="1"/>
        <v>-435.3060279132041</v>
      </c>
      <c r="C9" s="17">
        <f t="shared" si="1"/>
        <v>-49.827857211537435</v>
      </c>
    </row>
    <row r="10" spans="1:4">
      <c r="B10" s="32">
        <f>SUM(B8:C9)</f>
        <v>-956.99632804510202</v>
      </c>
    </row>
    <row r="12" spans="1:4">
      <c r="B12" s="17" t="e">
        <f>_xlfn.CHISQ.DIST.RT(B10,2)</f>
        <v>#NUM!</v>
      </c>
    </row>
    <row r="13" spans="1:4">
      <c r="A13" s="17"/>
      <c r="B13" s="33"/>
    </row>
    <row r="14" spans="1:4">
      <c r="A14" s="17" t="s">
        <v>63</v>
      </c>
      <c r="B14" s="21">
        <f>_xlfn.CHISQ.TEST(B2:C3,B5:C6)</f>
        <v>0.10477504107096543</v>
      </c>
      <c r="C14" s="32" t="s">
        <v>64</v>
      </c>
    </row>
    <row r="15" spans="1:4">
      <c r="B15" s="34" t="s">
        <v>65</v>
      </c>
      <c r="C15" s="17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8"/>
  <sheetViews>
    <sheetView workbookViewId="0"/>
  </sheetViews>
  <sheetFormatPr defaultColWidth="11.25" defaultRowHeight="15" customHeight="1"/>
  <sheetData>
    <row r="1" spans="1:9">
      <c r="A1" s="26" t="s">
        <v>57</v>
      </c>
      <c r="B1" s="27" t="s">
        <v>58</v>
      </c>
      <c r="C1" s="27" t="s">
        <v>5</v>
      </c>
      <c r="D1" s="27" t="s">
        <v>6</v>
      </c>
      <c r="E1" s="28" t="s">
        <v>59</v>
      </c>
    </row>
    <row r="2" spans="1:9">
      <c r="A2" s="29" t="s">
        <v>2</v>
      </c>
      <c r="B2" s="29">
        <v>366</v>
      </c>
      <c r="C2" s="29">
        <v>143</v>
      </c>
      <c r="D2" s="30">
        <v>31</v>
      </c>
      <c r="E2" s="28">
        <f t="shared" ref="E2:E3" si="0">SUM(B2:D2)</f>
        <v>540</v>
      </c>
    </row>
    <row r="3" spans="1:9">
      <c r="A3" s="29" t="s">
        <v>61</v>
      </c>
      <c r="B3" s="29">
        <v>404</v>
      </c>
      <c r="C3" s="29">
        <v>115</v>
      </c>
      <c r="D3" s="30">
        <v>21</v>
      </c>
      <c r="E3" s="28">
        <f t="shared" si="0"/>
        <v>540</v>
      </c>
    </row>
    <row r="5" spans="1:9">
      <c r="A5" s="57" t="s">
        <v>62</v>
      </c>
      <c r="B5" s="43">
        <f>E2*SUM(B2:B3)/SUM(E2:E3)</f>
        <v>385</v>
      </c>
      <c r="C5" s="43">
        <f>E2*SUM(C2:C3)/SUM(E2:E3)</f>
        <v>129</v>
      </c>
      <c r="D5" s="43">
        <f>E2*SUM(D2:D3)/SUM(E2:E3)</f>
        <v>26</v>
      </c>
      <c r="E5" s="29"/>
      <c r="G5" s="45"/>
    </row>
    <row r="6" spans="1:9">
      <c r="A6" s="60"/>
      <c r="B6" s="43">
        <f>E3*SUM(B2:B3)/SUM(E2:E3)</f>
        <v>385</v>
      </c>
      <c r="C6" s="43">
        <f>E3*SUM(C2:C3)/SUM(E2:E3)</f>
        <v>129</v>
      </c>
      <c r="D6" s="43">
        <f>E3*SUM(D2:D3)/SUM(E2:E3)</f>
        <v>26</v>
      </c>
      <c r="E6" s="29"/>
      <c r="I6" s="45"/>
    </row>
    <row r="8" spans="1:9">
      <c r="A8" s="17" t="s">
        <v>67</v>
      </c>
      <c r="B8" s="44">
        <f t="shared" ref="B8:D9" si="1">_xlfn.SINGLE((B2 - B5 ^ 2)) / B5</f>
        <v>-384.04935064935063</v>
      </c>
      <c r="C8" s="17">
        <f t="shared" si="1"/>
        <v>-127.89147286821705</v>
      </c>
      <c r="D8" s="44">
        <f t="shared" si="1"/>
        <v>-24.807692307692307</v>
      </c>
    </row>
    <row r="9" spans="1:9">
      <c r="B9" s="17">
        <f t="shared" si="1"/>
        <v>-383.95064935064937</v>
      </c>
      <c r="C9" s="17">
        <f t="shared" si="1"/>
        <v>-128.10852713178295</v>
      </c>
      <c r="D9" s="17">
        <f t="shared" si="1"/>
        <v>-25.192307692307693</v>
      </c>
    </row>
    <row r="10" spans="1:9">
      <c r="B10" s="32">
        <f>SUM(B8:D9)</f>
        <v>-1073.9999999999998</v>
      </c>
    </row>
    <row r="12" spans="1:9">
      <c r="B12" s="17" t="e">
        <f>_xlfn.CHISQ.DIST.RT(B10,2)</f>
        <v>#NUM!</v>
      </c>
    </row>
    <row r="13" spans="1:9">
      <c r="A13" s="17"/>
      <c r="B13" s="33"/>
    </row>
    <row r="14" spans="1:9">
      <c r="A14" s="17" t="s">
        <v>63</v>
      </c>
      <c r="B14" s="21">
        <f>_xlfn.CHISQ.TEST(B2:D3,B5:D6)</f>
        <v>3.2758898490880858E-2</v>
      </c>
      <c r="C14" s="17" t="s">
        <v>64</v>
      </c>
    </row>
    <row r="15" spans="1:9">
      <c r="B15" s="34" t="s">
        <v>65</v>
      </c>
      <c r="C15" s="32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98"/>
  <sheetViews>
    <sheetView workbookViewId="0"/>
  </sheetViews>
  <sheetFormatPr defaultColWidth="11.25" defaultRowHeight="15" customHeight="1"/>
  <sheetData>
    <row r="1" spans="1:5">
      <c r="A1" s="26" t="s">
        <v>57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68</v>
      </c>
      <c r="B2" s="29">
        <v>417</v>
      </c>
      <c r="C2" s="29">
        <v>156</v>
      </c>
      <c r="D2" s="30">
        <v>57</v>
      </c>
      <c r="E2" s="28">
        <f t="shared" ref="E2:E3" si="0">SUM(B2:D2)</f>
        <v>630</v>
      </c>
    </row>
    <row r="3" spans="1:5">
      <c r="A3" s="29" t="s">
        <v>60</v>
      </c>
      <c r="B3" s="6">
        <v>452</v>
      </c>
      <c r="C3" s="6">
        <v>113</v>
      </c>
      <c r="D3" s="6">
        <v>65</v>
      </c>
      <c r="E3" s="28">
        <f t="shared" si="0"/>
        <v>630</v>
      </c>
    </row>
    <row r="5" spans="1:5">
      <c r="A5" s="57" t="s">
        <v>62</v>
      </c>
      <c r="B5" s="31">
        <f>E2*SUM(B2:B3)/SUM(E2:E3)</f>
        <v>434.5</v>
      </c>
      <c r="C5" s="31">
        <f>E2*SUM(C2:C3)/SUM(E2:E3)</f>
        <v>134.5</v>
      </c>
      <c r="D5" s="31">
        <f>E2*SUM(D2:D3)/SUM(E2:E3)</f>
        <v>61</v>
      </c>
      <c r="E5" s="29"/>
    </row>
    <row r="6" spans="1:5">
      <c r="A6" s="60"/>
      <c r="B6" s="31">
        <f>E3*SUM(B2:B3)/SUM(E2:E3)</f>
        <v>434.5</v>
      </c>
      <c r="C6" s="31">
        <f>E3*SUM(C2:C3)/SUM(E2:E3)</f>
        <v>134.5</v>
      </c>
      <c r="D6" s="31">
        <f>E3*SUM(D2:D3)/SUM(E2:E3)</f>
        <v>61</v>
      </c>
      <c r="E6" s="29"/>
    </row>
    <row r="8" spans="1:5">
      <c r="A8" s="17" t="s">
        <v>67</v>
      </c>
      <c r="B8" s="17">
        <f t="shared" ref="B8:D9" si="1">_xlfn.SINGLE((B2 - B5 ^ 2)) / B5</f>
        <v>-433.5402761795167</v>
      </c>
      <c r="C8" s="17">
        <f t="shared" si="1"/>
        <v>-133.34014869888475</v>
      </c>
      <c r="D8" s="17">
        <f t="shared" si="1"/>
        <v>-60.065573770491802</v>
      </c>
    </row>
    <row r="9" spans="1:5">
      <c r="B9" s="17">
        <f t="shared" si="1"/>
        <v>-433.4597238204833</v>
      </c>
      <c r="C9" s="17">
        <f t="shared" si="1"/>
        <v>-133.65985130111525</v>
      </c>
      <c r="D9" s="17">
        <f t="shared" si="1"/>
        <v>-59.934426229508198</v>
      </c>
    </row>
    <row r="10" spans="1:5">
      <c r="B10" s="32">
        <f>SUM(B8:D9)</f>
        <v>-1254</v>
      </c>
    </row>
    <row r="12" spans="1:5">
      <c r="B12" s="17" t="e">
        <f>_xlfn.CHISQ.DIST.RT(B10,2)</f>
        <v>#NUM!</v>
      </c>
    </row>
    <row r="13" spans="1:5">
      <c r="A13" s="17"/>
      <c r="B13" s="33"/>
    </row>
    <row r="14" spans="1:5">
      <c r="A14" s="17" t="s">
        <v>63</v>
      </c>
      <c r="B14" s="21">
        <f>_xlfn.CHISQ.TEST(B2:D3,B5:D6)</f>
        <v>1.2229170000032484E-2</v>
      </c>
      <c r="C14" s="17" t="s">
        <v>69</v>
      </c>
    </row>
    <row r="15" spans="1:5">
      <c r="B15" s="34" t="s">
        <v>65</v>
      </c>
      <c r="C15" s="32" t="s">
        <v>70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98"/>
  <sheetViews>
    <sheetView workbookViewId="0"/>
  </sheetViews>
  <sheetFormatPr defaultColWidth="11.25" defaultRowHeight="15" customHeight="1"/>
  <sheetData>
    <row r="1" spans="1:10">
      <c r="A1" s="26" t="s">
        <v>57</v>
      </c>
      <c r="B1" s="27" t="s">
        <v>58</v>
      </c>
      <c r="C1" s="27" t="s">
        <v>6</v>
      </c>
      <c r="D1" s="28" t="s">
        <v>59</v>
      </c>
    </row>
    <row r="2" spans="1:10">
      <c r="A2" s="29" t="s">
        <v>68</v>
      </c>
      <c r="B2" s="6">
        <v>417</v>
      </c>
      <c r="C2" s="36">
        <v>57</v>
      </c>
      <c r="D2" s="28">
        <f t="shared" ref="D2:D3" si="0">SUM(B2:C2)</f>
        <v>474</v>
      </c>
    </row>
    <row r="3" spans="1:10">
      <c r="A3" s="29" t="s">
        <v>61</v>
      </c>
      <c r="B3" s="29">
        <v>452</v>
      </c>
      <c r="C3" s="30">
        <v>65</v>
      </c>
      <c r="D3" s="28">
        <f t="shared" si="0"/>
        <v>517</v>
      </c>
    </row>
    <row r="5" spans="1:10">
      <c r="A5" s="57" t="s">
        <v>62</v>
      </c>
      <c r="B5" s="31">
        <f>D2*SUM(B2:B3)/SUM(D2:D3)</f>
        <v>415.64682139253279</v>
      </c>
      <c r="C5" s="31">
        <f>D2*SUM(C2:C3)/SUM(D2:D3)</f>
        <v>58.353178607467207</v>
      </c>
      <c r="D5" s="29"/>
    </row>
    <row r="6" spans="1:10">
      <c r="A6" s="60"/>
      <c r="B6" s="31">
        <f>D3*SUM(B2:B3)/SUM(D2:D3)</f>
        <v>453.35317860746721</v>
      </c>
      <c r="C6" s="31">
        <f>D3*SUM(C2:C3)/SUM(D2:D3)</f>
        <v>63.646821392532793</v>
      </c>
      <c r="D6" s="29"/>
    </row>
    <row r="7" spans="1:10">
      <c r="H7" s="37"/>
      <c r="I7" s="16"/>
      <c r="J7" s="37"/>
    </row>
    <row r="8" spans="1:10">
      <c r="A8" s="17" t="s">
        <v>67</v>
      </c>
      <c r="B8" s="17">
        <f t="shared" ref="B8:C9" si="1">_xlfn.SINGLE((B2 - B5 ^ 2)) / B5</f>
        <v>-414.64356579538202</v>
      </c>
      <c r="C8" s="17">
        <f t="shared" si="1"/>
        <v>-57.376368065861065</v>
      </c>
    </row>
    <row r="9" spans="1:10">
      <c r="B9" s="17">
        <f t="shared" si="1"/>
        <v>-452.35616342961322</v>
      </c>
      <c r="C9" s="17">
        <f t="shared" si="1"/>
        <v>-62.625560651181367</v>
      </c>
    </row>
    <row r="10" spans="1:10">
      <c r="B10" s="32">
        <f>SUM(B8:C9)</f>
        <v>-987.00165794203758</v>
      </c>
    </row>
    <row r="12" spans="1:10">
      <c r="B12" s="17" t="e">
        <f>_xlfn.CHISQ.DIST.RT(B10,2)</f>
        <v>#NUM!</v>
      </c>
    </row>
    <row r="13" spans="1:10">
      <c r="A13" s="17"/>
      <c r="B13" s="33"/>
    </row>
    <row r="14" spans="1:10">
      <c r="A14" s="17" t="s">
        <v>63</v>
      </c>
      <c r="B14" s="21">
        <f>_xlfn.CHISQ.TEST(B2:C3,B5:C6)</f>
        <v>0.79339581471691112</v>
      </c>
      <c r="C14" s="32" t="s">
        <v>64</v>
      </c>
    </row>
    <row r="15" spans="1:10">
      <c r="B15" s="34" t="s">
        <v>65</v>
      </c>
      <c r="C15" s="17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workbookViewId="0"/>
  </sheetViews>
  <sheetFormatPr defaultColWidth="11.25" defaultRowHeight="15" customHeight="1"/>
  <sheetData>
    <row r="1" spans="1:5">
      <c r="A1" s="26" t="s">
        <v>57</v>
      </c>
      <c r="B1" s="27" t="s">
        <v>58</v>
      </c>
      <c r="C1" s="27" t="s">
        <v>5</v>
      </c>
      <c r="D1" s="27" t="s">
        <v>6</v>
      </c>
      <c r="E1" s="28" t="s">
        <v>59</v>
      </c>
    </row>
    <row r="2" spans="1:5">
      <c r="A2" s="29" t="s">
        <v>2</v>
      </c>
      <c r="B2" s="29">
        <v>366</v>
      </c>
      <c r="C2" s="29">
        <v>143</v>
      </c>
      <c r="D2" s="30">
        <v>31</v>
      </c>
      <c r="E2" s="28">
        <f t="shared" ref="E2:E3" si="0">SUM(B2:D2)</f>
        <v>540</v>
      </c>
    </row>
    <row r="3" spans="1:5">
      <c r="A3" s="29" t="s">
        <v>60</v>
      </c>
      <c r="B3" s="29">
        <v>400</v>
      </c>
      <c r="C3" s="29">
        <v>100</v>
      </c>
      <c r="D3" s="30">
        <v>40</v>
      </c>
      <c r="E3" s="28">
        <f t="shared" si="0"/>
        <v>540</v>
      </c>
    </row>
    <row r="5" spans="1:5">
      <c r="A5" s="57" t="s">
        <v>62</v>
      </c>
      <c r="B5" s="31">
        <f>E2*SUM(B2:B3)/SUM(E2:E3)</f>
        <v>383</v>
      </c>
      <c r="C5" s="31">
        <f>E2*SUM(C2:C3)/SUM(E2:E3)</f>
        <v>121.5</v>
      </c>
      <c r="D5" s="31">
        <f>E2*SUM(D2:D3)/SUM(E2:E3)</f>
        <v>35.5</v>
      </c>
      <c r="E5" s="29"/>
    </row>
    <row r="6" spans="1:5">
      <c r="A6" s="60"/>
      <c r="B6" s="31">
        <f>E3*SUM(B2:B3)/SUM(E2:E3)</f>
        <v>383</v>
      </c>
      <c r="C6" s="31">
        <f>E3*SUM(C2:C3)/SUM(E2:E3)</f>
        <v>121.5</v>
      </c>
      <c r="D6" s="31">
        <f>E3*SUM(D2:D3)/SUM(E2:E3)</f>
        <v>35.5</v>
      </c>
      <c r="E6" s="29"/>
    </row>
    <row r="8" spans="1:5">
      <c r="A8" s="17" t="s">
        <v>67</v>
      </c>
      <c r="B8" s="17">
        <f t="shared" ref="B8:D9" si="1">_xlfn.SINGLE((B2 - B5 ^ 2)) / B5</f>
        <v>-382.04438642297652</v>
      </c>
      <c r="C8" s="17">
        <f t="shared" si="1"/>
        <v>-120.32304526748972</v>
      </c>
      <c r="D8" s="17">
        <f t="shared" si="1"/>
        <v>-34.62676056338028</v>
      </c>
    </row>
    <row r="9" spans="1:5">
      <c r="B9" s="17">
        <f t="shared" si="1"/>
        <v>-381.95561357702348</v>
      </c>
      <c r="C9" s="17">
        <f t="shared" si="1"/>
        <v>-120.67695473251028</v>
      </c>
      <c r="D9" s="17">
        <f t="shared" si="1"/>
        <v>-34.37323943661972</v>
      </c>
    </row>
    <row r="10" spans="1:5">
      <c r="B10" s="32">
        <f>SUM(B8:D9)</f>
        <v>-1074</v>
      </c>
    </row>
    <row r="12" spans="1:5">
      <c r="B12" s="17" t="e">
        <f>_xlfn.CHISQ.DIST.RT(B10,2)</f>
        <v>#NUM!</v>
      </c>
    </row>
    <row r="13" spans="1:5">
      <c r="A13" s="17"/>
      <c r="B13" s="33"/>
    </row>
    <row r="14" spans="1:5">
      <c r="A14" s="17" t="s">
        <v>63</v>
      </c>
      <c r="B14" s="21">
        <f>_xlfn.CHISQ.TEST(B2:D3,B5:D6)</f>
        <v>5.9194101327842332E-3</v>
      </c>
      <c r="C14" s="17" t="s">
        <v>64</v>
      </c>
    </row>
    <row r="15" spans="1:5">
      <c r="B15" s="34" t="s">
        <v>65</v>
      </c>
      <c r="C15" s="32" t="s">
        <v>66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5:A6"/>
  </mergeCells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6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>
        <v>1</v>
      </c>
      <c r="B2" s="29">
        <v>128</v>
      </c>
      <c r="C2" s="29">
        <v>38</v>
      </c>
      <c r="D2" s="29">
        <v>14</v>
      </c>
      <c r="E2" s="28">
        <f t="shared" ref="E2:E7" si="0">SUM(B2:D2)</f>
        <v>180</v>
      </c>
    </row>
    <row r="3" spans="1:5">
      <c r="A3" s="29">
        <v>2</v>
      </c>
      <c r="B3" s="29">
        <v>65</v>
      </c>
      <c r="C3" s="29">
        <v>15</v>
      </c>
      <c r="D3" s="29">
        <v>10</v>
      </c>
      <c r="E3" s="28">
        <f t="shared" si="0"/>
        <v>90</v>
      </c>
    </row>
    <row r="4" spans="1:5">
      <c r="A4" s="29">
        <v>3</v>
      </c>
      <c r="B4" s="29">
        <v>72</v>
      </c>
      <c r="C4" s="29">
        <v>14</v>
      </c>
      <c r="D4" s="28">
        <v>4</v>
      </c>
      <c r="E4" s="28">
        <f t="shared" si="0"/>
        <v>90</v>
      </c>
    </row>
    <row r="5" spans="1:5">
      <c r="A5" s="29">
        <v>4</v>
      </c>
      <c r="B5" s="29">
        <v>67</v>
      </c>
      <c r="C5" s="29">
        <v>18</v>
      </c>
      <c r="D5" s="28">
        <v>5</v>
      </c>
      <c r="E5" s="28">
        <f t="shared" si="0"/>
        <v>90</v>
      </c>
    </row>
    <row r="6" spans="1:5">
      <c r="A6" s="29">
        <v>5</v>
      </c>
      <c r="B6" s="29">
        <v>68</v>
      </c>
      <c r="C6" s="29">
        <v>15</v>
      </c>
      <c r="D6" s="28">
        <v>7</v>
      </c>
      <c r="E6" s="28">
        <f t="shared" si="0"/>
        <v>90</v>
      </c>
    </row>
    <row r="7" spans="1:5">
      <c r="A7" s="29">
        <v>6</v>
      </c>
      <c r="B7" s="29">
        <v>52</v>
      </c>
      <c r="C7" s="29">
        <v>13</v>
      </c>
      <c r="D7" s="29">
        <v>25</v>
      </c>
      <c r="E7" s="28">
        <f t="shared" si="0"/>
        <v>90</v>
      </c>
    </row>
    <row r="9" spans="1:5">
      <c r="A9" s="57" t="s">
        <v>62</v>
      </c>
      <c r="B9" s="31">
        <f>E2*SUM(B2:B7)/SUM(E2:E7)</f>
        <v>129.14285714285714</v>
      </c>
      <c r="C9" s="31">
        <f>E2*SUM(C2:C7)/SUM(E2:E7)</f>
        <v>32.285714285714285</v>
      </c>
      <c r="D9" s="31">
        <f>E2*SUM(D2:D7)/SUM(E2:E7)</f>
        <v>18.571428571428573</v>
      </c>
      <c r="E9" s="29"/>
    </row>
    <row r="10" spans="1:5">
      <c r="A10" s="61"/>
      <c r="B10" s="31">
        <f t="shared" ref="B10:B11" si="1">E3*SUM(B$2:B$7)/SUM($E$2:$E$7)</f>
        <v>64.571428571428569</v>
      </c>
      <c r="C10" s="31">
        <f t="shared" ref="C10:D10" si="2">$E3*SUM(C$2:C$7)/SUM($E$2:$E$7)</f>
        <v>16.142857142857142</v>
      </c>
      <c r="D10" s="31">
        <f t="shared" si="2"/>
        <v>9.2857142857142865</v>
      </c>
      <c r="E10" s="29"/>
    </row>
    <row r="11" spans="1:5">
      <c r="A11" s="61"/>
      <c r="B11" s="31">
        <f t="shared" si="1"/>
        <v>64.571428571428569</v>
      </c>
      <c r="C11" s="31">
        <f t="shared" ref="C11:D11" si="3">$E4*SUM(C$2:C$7)/SUM($E$2:$E$7)</f>
        <v>16.142857142857142</v>
      </c>
      <c r="D11" s="31">
        <f t="shared" si="3"/>
        <v>9.2857142857142865</v>
      </c>
      <c r="E11" s="29"/>
    </row>
    <row r="12" spans="1:5">
      <c r="A12" s="61"/>
      <c r="B12" s="38">
        <f t="shared" ref="B12:B13" si="4">E5*SUM(B$2:B$7)/SUM($E$2:$E$7)</f>
        <v>64.571428571428569</v>
      </c>
      <c r="C12" s="38">
        <f t="shared" ref="C12:D12" si="5">$E5*SUM(C$2:C$7)/SUM($E$2:$E$7)</f>
        <v>16.142857142857142</v>
      </c>
      <c r="D12" s="38">
        <f t="shared" si="5"/>
        <v>9.2857142857142865</v>
      </c>
      <c r="E12" s="29"/>
    </row>
    <row r="13" spans="1:5">
      <c r="A13" s="61"/>
      <c r="B13" s="38">
        <f t="shared" si="4"/>
        <v>64.571428571428569</v>
      </c>
      <c r="C13" s="38">
        <f t="shared" ref="C13:D13" si="6">$E6*SUM(C$2:C$7)/SUM($E$2:$E$7)</f>
        <v>16.142857142857142</v>
      </c>
      <c r="D13" s="38">
        <f t="shared" si="6"/>
        <v>9.2857142857142865</v>
      </c>
      <c r="E13" s="29"/>
    </row>
    <row r="14" spans="1:5">
      <c r="A14" s="60"/>
      <c r="B14" s="31">
        <f>E7*SUM(B2:B7)/SUM(E2:E7)</f>
        <v>64.571428571428569</v>
      </c>
      <c r="C14" s="31">
        <f>E7*SUM(C2:C7)/SUM(E2:E7)</f>
        <v>16.142857142857142</v>
      </c>
      <c r="D14" s="31">
        <f>E7*SUM(D2:D7)/SUM(E2:E7)</f>
        <v>9.2857142857142865</v>
      </c>
      <c r="E14" s="29"/>
    </row>
    <row r="16" spans="1:5">
      <c r="A16" s="17" t="s">
        <v>67</v>
      </c>
      <c r="B16" s="17">
        <f t="shared" ref="B16:D16" si="7">_xlfn.SINGLE((B2 - B9 ^ 2)) / B9</f>
        <v>-128.15170670037926</v>
      </c>
      <c r="C16" s="17">
        <f t="shared" si="7"/>
        <v>-31.108723135271806</v>
      </c>
      <c r="D16" s="17">
        <f t="shared" si="7"/>
        <v>-17.817582417582422</v>
      </c>
    </row>
    <row r="17" spans="1:4">
      <c r="B17" s="17">
        <f t="shared" ref="B17:D17" si="8">_xlfn.SINGLE((B7 - B14 ^ 2)) / B14</f>
        <v>-63.766118836915297</v>
      </c>
      <c r="C17" s="17">
        <f t="shared" si="8"/>
        <v>-15.337547408343868</v>
      </c>
      <c r="D17" s="17">
        <f t="shared" si="8"/>
        <v>-6.5934065934065949</v>
      </c>
    </row>
    <row r="18" spans="1:4">
      <c r="B18" s="32">
        <f>SUM(B16:D17)</f>
        <v>-262.77508509189926</v>
      </c>
    </row>
    <row r="20" spans="1:4">
      <c r="B20" s="17" t="e">
        <f>_xlfn.CHISQ.DIST.RT(B18,2)</f>
        <v>#NUM!</v>
      </c>
    </row>
    <row r="21" spans="1:4">
      <c r="A21" s="17"/>
      <c r="B21" s="33"/>
    </row>
    <row r="22" spans="1:4">
      <c r="A22" s="17" t="s">
        <v>63</v>
      </c>
      <c r="B22" s="21">
        <f>_xlfn.CHISQ.TEST(B2:D7,B9:D14)</f>
        <v>2.3470116437063937E-5</v>
      </c>
      <c r="C22" s="17" t="s">
        <v>69</v>
      </c>
    </row>
    <row r="23" spans="1:4">
      <c r="B23" s="34" t="s">
        <v>65</v>
      </c>
      <c r="C23" s="32" t="s">
        <v>70</v>
      </c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9:A14"/>
  </mergeCells>
  <pageMargins left="0" right="0" top="0" bottom="0" header="0" footer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6"/>
  <sheetViews>
    <sheetView workbookViewId="0"/>
  </sheetViews>
  <sheetFormatPr defaultColWidth="11.25" defaultRowHeight="15" customHeight="1"/>
  <cols>
    <col min="8" max="8" width="12.5" customWidth="1"/>
  </cols>
  <sheetData>
    <row r="1" spans="1:5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>
        <v>1</v>
      </c>
      <c r="B2" s="29">
        <v>130</v>
      </c>
      <c r="C2" s="29">
        <v>43</v>
      </c>
      <c r="D2" s="29">
        <v>7</v>
      </c>
      <c r="E2" s="28">
        <f t="shared" ref="E2:E7" si="0">SUM(B2:D2)</f>
        <v>180</v>
      </c>
    </row>
    <row r="3" spans="1:5">
      <c r="A3" s="29">
        <v>2</v>
      </c>
      <c r="B3" s="29">
        <v>63</v>
      </c>
      <c r="C3" s="29">
        <v>22</v>
      </c>
      <c r="D3" s="29">
        <v>5</v>
      </c>
      <c r="E3" s="28">
        <f t="shared" si="0"/>
        <v>90</v>
      </c>
    </row>
    <row r="4" spans="1:5">
      <c r="A4" s="29">
        <v>3</v>
      </c>
      <c r="B4" s="29">
        <v>67</v>
      </c>
      <c r="C4" s="29">
        <v>20</v>
      </c>
      <c r="D4" s="28">
        <v>3</v>
      </c>
      <c r="E4" s="28">
        <f t="shared" si="0"/>
        <v>90</v>
      </c>
    </row>
    <row r="5" spans="1:5">
      <c r="A5" s="29">
        <v>4</v>
      </c>
      <c r="B5" s="29">
        <v>68</v>
      </c>
      <c r="C5" s="29">
        <v>20</v>
      </c>
      <c r="D5" s="28">
        <v>2</v>
      </c>
      <c r="E5" s="28">
        <f t="shared" si="0"/>
        <v>90</v>
      </c>
    </row>
    <row r="6" spans="1:5">
      <c r="A6" s="29">
        <v>5</v>
      </c>
      <c r="B6" s="29">
        <v>76</v>
      </c>
      <c r="C6" s="29">
        <v>10</v>
      </c>
      <c r="D6" s="28">
        <v>4</v>
      </c>
      <c r="E6" s="28">
        <f t="shared" si="0"/>
        <v>90</v>
      </c>
    </row>
    <row r="7" spans="1:5">
      <c r="A7" s="29">
        <v>6</v>
      </c>
      <c r="B7" s="29">
        <v>40</v>
      </c>
      <c r="C7" s="29">
        <v>28</v>
      </c>
      <c r="D7" s="29">
        <v>22</v>
      </c>
      <c r="E7" s="28">
        <f t="shared" si="0"/>
        <v>90</v>
      </c>
    </row>
    <row r="9" spans="1:5">
      <c r="A9" s="57" t="s">
        <v>62</v>
      </c>
      <c r="B9" s="31">
        <f>E2*SUM(B2:B7)/SUM(E2:E7)</f>
        <v>126.85714285714286</v>
      </c>
      <c r="C9" s="31">
        <f>E2*SUM(C2:C7)/SUM(E2:E7)</f>
        <v>40.857142857142854</v>
      </c>
      <c r="D9" s="31">
        <f>E2*SUM(D2:D7)/SUM(E2:E7)</f>
        <v>12.285714285714286</v>
      </c>
      <c r="E9" s="29"/>
    </row>
    <row r="10" spans="1:5">
      <c r="A10" s="61"/>
      <c r="B10" s="31">
        <f t="shared" ref="B10:B11" si="1">E3*SUM(B$2:B$7)/SUM($E$2:$E$7)</f>
        <v>63.428571428571431</v>
      </c>
      <c r="C10" s="31">
        <f t="shared" ref="C10:D10" si="2">$E3*SUM(C$2:C$7)/SUM($E$2:$E$7)</f>
        <v>20.428571428571427</v>
      </c>
      <c r="D10" s="31">
        <f t="shared" si="2"/>
        <v>6.1428571428571432</v>
      </c>
      <c r="E10" s="29"/>
    </row>
    <row r="11" spans="1:5">
      <c r="A11" s="61"/>
      <c r="B11" s="31">
        <f t="shared" si="1"/>
        <v>63.428571428571431</v>
      </c>
      <c r="C11" s="31">
        <f t="shared" ref="C11:D11" si="3">$E4*SUM(C$2:C$7)/SUM($E$2:$E$7)</f>
        <v>20.428571428571427</v>
      </c>
      <c r="D11" s="31">
        <f t="shared" si="3"/>
        <v>6.1428571428571432</v>
      </c>
      <c r="E11" s="29"/>
    </row>
    <row r="12" spans="1:5">
      <c r="A12" s="61"/>
      <c r="B12" s="38">
        <f t="shared" ref="B12:B13" si="4">E5*SUM(B$2:B$7)/SUM($E$2:$E$7)</f>
        <v>63.428571428571431</v>
      </c>
      <c r="C12" s="38">
        <f t="shared" ref="C12:D12" si="5">$E5*SUM(C$2:C$7)/SUM($E$2:$E$7)</f>
        <v>20.428571428571427</v>
      </c>
      <c r="D12" s="38">
        <f t="shared" si="5"/>
        <v>6.1428571428571432</v>
      </c>
      <c r="E12" s="29"/>
    </row>
    <row r="13" spans="1:5">
      <c r="A13" s="61"/>
      <c r="B13" s="38">
        <f t="shared" si="4"/>
        <v>63.428571428571431</v>
      </c>
      <c r="C13" s="38">
        <f t="shared" ref="C13:D13" si="6">$E6*SUM(C$2:C$7)/SUM($E$2:$E$7)</f>
        <v>20.428571428571427</v>
      </c>
      <c r="D13" s="38">
        <f t="shared" si="6"/>
        <v>6.1428571428571432</v>
      </c>
      <c r="E13" s="29"/>
    </row>
    <row r="14" spans="1:5">
      <c r="A14" s="60"/>
      <c r="B14" s="31">
        <f>E7*SUM(B2:B7)/SUM(E2:E7)</f>
        <v>63.428571428571431</v>
      </c>
      <c r="C14" s="31">
        <f>E7*SUM(C2:C7)/SUM(E2:E7)</f>
        <v>20.428571428571427</v>
      </c>
      <c r="D14" s="31">
        <f>E7*SUM(D2:D7)/SUM(E2:E7)</f>
        <v>6.1428571428571432</v>
      </c>
      <c r="E14" s="29"/>
    </row>
    <row r="16" spans="1:5">
      <c r="A16" s="17" t="s">
        <v>67</v>
      </c>
      <c r="B16" s="17">
        <f t="shared" ref="B16:D16" si="7">_xlfn.SINGLE((B2 - B9 ^ 2)) / B9</f>
        <v>-125.83236808236808</v>
      </c>
      <c r="C16" s="17">
        <f t="shared" si="7"/>
        <v>-39.804695304695301</v>
      </c>
      <c r="D16" s="17">
        <f t="shared" si="7"/>
        <v>-11.715946843853821</v>
      </c>
    </row>
    <row r="17" spans="1:4">
      <c r="B17" s="17">
        <f t="shared" ref="B17:D17" si="8">_xlfn.SINGLE((B7 - B14 ^ 2)) / B14</f>
        <v>-62.797940797940797</v>
      </c>
      <c r="C17" s="17">
        <f t="shared" si="8"/>
        <v>-19.057942057942057</v>
      </c>
      <c r="D17" s="17">
        <f t="shared" si="8"/>
        <v>-2.5614617940199338</v>
      </c>
    </row>
    <row r="18" spans="1:4">
      <c r="B18" s="32">
        <f>SUM(B16:D17)</f>
        <v>-261.77035488081998</v>
      </c>
    </row>
    <row r="20" spans="1:4">
      <c r="B20" s="17" t="e">
        <f>_xlfn.CHISQ.DIST.RT(B18,2)</f>
        <v>#NUM!</v>
      </c>
    </row>
    <row r="21" spans="1:4">
      <c r="A21" s="17"/>
      <c r="B21" s="33"/>
    </row>
    <row r="22" spans="1:4">
      <c r="A22" s="17" t="s">
        <v>63</v>
      </c>
      <c r="B22" s="21">
        <f>_xlfn.CHISQ.TEST(B2:D7,B9:D14)</f>
        <v>7.8708136443557059E-11</v>
      </c>
      <c r="C22" s="17" t="s">
        <v>69</v>
      </c>
    </row>
    <row r="23" spans="1:4">
      <c r="B23" s="34" t="s">
        <v>65</v>
      </c>
      <c r="C23" s="32" t="s">
        <v>70</v>
      </c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9:A14"/>
  </mergeCells>
  <pageMargins left="0" right="0" top="0" bottom="0" header="0" footer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6"/>
  <sheetViews>
    <sheetView workbookViewId="0"/>
  </sheetViews>
  <sheetFormatPr defaultColWidth="11.25" defaultRowHeight="15" customHeight="1"/>
  <cols>
    <col min="8" max="8" width="12.5" customWidth="1"/>
  </cols>
  <sheetData>
    <row r="1" spans="1:5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>
        <v>1</v>
      </c>
      <c r="B2" s="5">
        <v>112</v>
      </c>
      <c r="C2" s="6">
        <v>61</v>
      </c>
      <c r="D2" s="7">
        <v>7</v>
      </c>
      <c r="E2" s="28">
        <f t="shared" ref="E2:E7" si="0">SUM(B2:D2)</f>
        <v>180</v>
      </c>
    </row>
    <row r="3" spans="1:5">
      <c r="A3" s="29">
        <v>2</v>
      </c>
      <c r="B3" s="5">
        <v>68</v>
      </c>
      <c r="C3" s="6">
        <v>8</v>
      </c>
      <c r="D3" s="7">
        <v>14</v>
      </c>
      <c r="E3" s="28">
        <f t="shared" si="0"/>
        <v>90</v>
      </c>
    </row>
    <row r="4" spans="1:5">
      <c r="A4" s="29">
        <v>3</v>
      </c>
      <c r="B4" s="5">
        <v>55</v>
      </c>
      <c r="C4" s="6">
        <v>31</v>
      </c>
      <c r="D4" s="7">
        <v>4</v>
      </c>
      <c r="E4" s="28">
        <f t="shared" si="0"/>
        <v>90</v>
      </c>
    </row>
    <row r="5" spans="1:5">
      <c r="A5" s="29">
        <v>4</v>
      </c>
      <c r="B5" s="5">
        <v>73</v>
      </c>
      <c r="C5" s="6">
        <v>16</v>
      </c>
      <c r="D5" s="7">
        <v>1</v>
      </c>
      <c r="E5" s="28">
        <f t="shared" si="0"/>
        <v>90</v>
      </c>
    </row>
    <row r="6" spans="1:5">
      <c r="A6" s="29">
        <v>5</v>
      </c>
      <c r="B6" s="5">
        <v>58</v>
      </c>
      <c r="C6" s="6">
        <v>27</v>
      </c>
      <c r="D6" s="7">
        <v>5</v>
      </c>
      <c r="E6" s="28">
        <f t="shared" si="0"/>
        <v>90</v>
      </c>
    </row>
    <row r="7" spans="1:5">
      <c r="A7" s="29">
        <v>6</v>
      </c>
      <c r="B7" s="11">
        <v>51</v>
      </c>
      <c r="C7" s="12">
        <v>13</v>
      </c>
      <c r="D7" s="13">
        <v>26</v>
      </c>
      <c r="E7" s="28">
        <f t="shared" si="0"/>
        <v>90</v>
      </c>
    </row>
    <row r="9" spans="1:5">
      <c r="A9" s="57" t="s">
        <v>62</v>
      </c>
      <c r="B9" s="31">
        <f>E2*SUM(B2:B7)/SUM(E2:E7)</f>
        <v>119.14285714285714</v>
      </c>
      <c r="C9" s="31">
        <f>E2*SUM(C2:C7)/SUM(E2:E7)</f>
        <v>44.571428571428569</v>
      </c>
      <c r="D9" s="31">
        <f>E2*SUM(D2:D7)/SUM(E2:E7)</f>
        <v>16.285714285714285</v>
      </c>
      <c r="E9" s="29"/>
    </row>
    <row r="10" spans="1:5">
      <c r="A10" s="61"/>
      <c r="B10" s="31">
        <f t="shared" ref="B10:B11" si="1">E3*SUM(B$2:B$7)/SUM($E$2:$E$7)</f>
        <v>59.571428571428569</v>
      </c>
      <c r="C10" s="31">
        <f t="shared" ref="C10:D10" si="2">$E3*SUM(C$2:C$7)/SUM($E$2:$E$7)</f>
        <v>22.285714285714285</v>
      </c>
      <c r="D10" s="31">
        <f t="shared" si="2"/>
        <v>8.1428571428571423</v>
      </c>
      <c r="E10" s="29"/>
    </row>
    <row r="11" spans="1:5">
      <c r="A11" s="61"/>
      <c r="B11" s="31">
        <f t="shared" si="1"/>
        <v>59.571428571428569</v>
      </c>
      <c r="C11" s="31">
        <f t="shared" ref="C11:D11" si="3">$E4*SUM(C$2:C$7)/SUM($E$2:$E$7)</f>
        <v>22.285714285714285</v>
      </c>
      <c r="D11" s="31">
        <f t="shared" si="3"/>
        <v>8.1428571428571423</v>
      </c>
      <c r="E11" s="29"/>
    </row>
    <row r="12" spans="1:5">
      <c r="A12" s="61"/>
      <c r="B12" s="38">
        <f t="shared" ref="B12:B13" si="4">E5*SUM(B$2:B$7)/SUM($E$2:$E$7)</f>
        <v>59.571428571428569</v>
      </c>
      <c r="C12" s="38">
        <f t="shared" ref="C12:D12" si="5">$E5*SUM(C$2:C$7)/SUM($E$2:$E$7)</f>
        <v>22.285714285714285</v>
      </c>
      <c r="D12" s="38">
        <f t="shared" si="5"/>
        <v>8.1428571428571423</v>
      </c>
      <c r="E12" s="29"/>
    </row>
    <row r="13" spans="1:5">
      <c r="A13" s="61"/>
      <c r="B13" s="38">
        <f t="shared" si="4"/>
        <v>59.571428571428569</v>
      </c>
      <c r="C13" s="38">
        <f t="shared" ref="C13:D13" si="6">$E6*SUM(C$2:C$7)/SUM($E$2:$E$7)</f>
        <v>22.285714285714285</v>
      </c>
      <c r="D13" s="38">
        <f t="shared" si="6"/>
        <v>8.1428571428571423</v>
      </c>
      <c r="E13" s="29"/>
    </row>
    <row r="14" spans="1:5">
      <c r="A14" s="60"/>
      <c r="B14" s="31">
        <f>E7*SUM(B2:B7)/SUM(E2:E7)</f>
        <v>59.571428571428569</v>
      </c>
      <c r="C14" s="31">
        <f>E7*SUM(C2:C7)/SUM(E2:E7)</f>
        <v>22.285714285714285</v>
      </c>
      <c r="D14" s="31">
        <f>E7*SUM(D2:D7)/SUM(E2:E7)</f>
        <v>8.1428571428571423</v>
      </c>
      <c r="E14" s="29"/>
    </row>
    <row r="16" spans="1:5">
      <c r="A16" s="17" t="s">
        <v>67</v>
      </c>
      <c r="B16" s="17">
        <f t="shared" ref="B16:D16" si="7">_xlfn.SINGLE((B2 - B9 ^ 2)) / B9</f>
        <v>-118.20280918122644</v>
      </c>
      <c r="C16" s="17">
        <f t="shared" si="7"/>
        <v>-43.202838827838825</v>
      </c>
      <c r="D16" s="17">
        <f t="shared" si="7"/>
        <v>-15.855889724310774</v>
      </c>
    </row>
    <row r="17" spans="1:4">
      <c r="B17" s="17">
        <f t="shared" ref="B17:D17" si="8">_xlfn.SINGLE((B7 - B14 ^ 2)) / B14</f>
        <v>-58.715313463514896</v>
      </c>
      <c r="C17" s="17">
        <f t="shared" si="8"/>
        <v>-21.702380952380953</v>
      </c>
      <c r="D17" s="17">
        <f t="shared" si="8"/>
        <v>-4.9498746867167904</v>
      </c>
    </row>
    <row r="18" spans="1:4">
      <c r="B18" s="32">
        <f>SUM(B16:D17)</f>
        <v>-262.62910683598864</v>
      </c>
    </row>
    <row r="20" spans="1:4">
      <c r="B20" s="17" t="e">
        <f>_xlfn.CHISQ.DIST.RT(B18,2)</f>
        <v>#NUM!</v>
      </c>
    </row>
    <row r="21" spans="1:4">
      <c r="A21" s="17"/>
      <c r="B21" s="33"/>
    </row>
    <row r="22" spans="1:4">
      <c r="A22" s="17" t="s">
        <v>63</v>
      </c>
      <c r="B22" s="21">
        <f>_xlfn.CHISQ.TEST(B2:D7,B9:D14)</f>
        <v>5.9018808248397281E-15</v>
      </c>
      <c r="C22" s="17" t="s">
        <v>69</v>
      </c>
    </row>
    <row r="23" spans="1:4">
      <c r="B23" s="34" t="s">
        <v>65</v>
      </c>
      <c r="C23" s="32" t="s">
        <v>70</v>
      </c>
    </row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">
    <mergeCell ref="A9:A14"/>
  </mergeCells>
  <pageMargins left="0" right="0" top="0" bottom="0" header="0" footer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93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400</v>
      </c>
      <c r="C2" s="29">
        <v>100</v>
      </c>
      <c r="D2" s="29">
        <v>40</v>
      </c>
      <c r="E2" s="28">
        <f t="shared" ref="E2:E3" si="0">SUM(B2:D2)</f>
        <v>540</v>
      </c>
    </row>
    <row r="3" spans="1:5">
      <c r="A3" s="29">
        <v>6</v>
      </c>
      <c r="B3" s="29">
        <v>52</v>
      </c>
      <c r="C3" s="29">
        <v>13</v>
      </c>
      <c r="D3" s="29">
        <v>25</v>
      </c>
      <c r="E3" s="28">
        <f t="shared" si="0"/>
        <v>90</v>
      </c>
    </row>
    <row r="5" spans="1:5">
      <c r="A5" s="57"/>
      <c r="B5" s="38">
        <f>E2*SUM(B$2:B$3)/SUM($E$2:$E$3)</f>
        <v>387.42857142857144</v>
      </c>
      <c r="C5" s="38">
        <f t="shared" ref="C5:D5" si="1">$E2*SUM(C$2:C$3)/SUM($E$2:$E$3)</f>
        <v>96.857142857142861</v>
      </c>
      <c r="D5" s="38">
        <f t="shared" si="1"/>
        <v>55.714285714285715</v>
      </c>
      <c r="E5" s="29"/>
    </row>
    <row r="6" spans="1:5">
      <c r="A6" s="60"/>
      <c r="B6" s="31">
        <f>E3*SUM(B2:B3)/SUM(E2:E3)</f>
        <v>64.571428571428569</v>
      </c>
      <c r="C6" s="31">
        <f>E3*SUM(C2:C3)/SUM(E2:E3)</f>
        <v>16.142857142857142</v>
      </c>
      <c r="D6" s="31">
        <f>E3*SUM(D2:D3)/SUM(E2:E3)</f>
        <v>9.2857142857142865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3.0746757980453034E-8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93"/>
  <sheetViews>
    <sheetView workbookViewId="0"/>
  </sheetViews>
  <sheetFormatPr defaultColWidth="11.25" defaultRowHeight="15" customHeight="1"/>
  <cols>
    <col min="2" max="2" width="16.5" customWidth="1"/>
  </cols>
  <sheetData>
    <row r="1" spans="1:5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404</v>
      </c>
      <c r="C2" s="29">
        <v>115</v>
      </c>
      <c r="D2" s="29">
        <v>21</v>
      </c>
      <c r="E2" s="28">
        <f t="shared" ref="E2:E3" si="0">SUM(B2:D2)</f>
        <v>540</v>
      </c>
    </row>
    <row r="3" spans="1:5">
      <c r="A3" s="29">
        <v>6</v>
      </c>
      <c r="B3" s="29">
        <v>40</v>
      </c>
      <c r="C3" s="29">
        <v>28</v>
      </c>
      <c r="D3" s="29">
        <v>22</v>
      </c>
      <c r="E3" s="28">
        <f t="shared" si="0"/>
        <v>90</v>
      </c>
    </row>
    <row r="5" spans="1:5">
      <c r="A5" s="57"/>
      <c r="B5" s="38">
        <f>E2*SUM(B$2:B$3)/SUM($E$2:$E$3)</f>
        <v>380.57142857142856</v>
      </c>
      <c r="C5" s="38">
        <f t="shared" ref="C5:D5" si="1">$E2*SUM(C$2:C$3)/SUM($E$2:$E$3)</f>
        <v>122.57142857142857</v>
      </c>
      <c r="D5" s="38">
        <f t="shared" si="1"/>
        <v>36.857142857142854</v>
      </c>
      <c r="E5" s="29"/>
    </row>
    <row r="6" spans="1:5">
      <c r="A6" s="60"/>
      <c r="B6" s="31">
        <f>E3*SUM(B2:B3)/SUM(E2:E3)</f>
        <v>63.428571428571431</v>
      </c>
      <c r="C6" s="31">
        <f>E3*SUM(C2:C3)/SUM(E2:E3)</f>
        <v>20.428571428571427</v>
      </c>
      <c r="D6" s="31">
        <f>E3*SUM(D2:D3)/SUM(E2:E3)</f>
        <v>6.1428571428571432</v>
      </c>
      <c r="E6" s="29"/>
    </row>
    <row r="8" spans="1:5">
      <c r="A8" s="17"/>
      <c r="B8" s="33"/>
    </row>
    <row r="9" spans="1:5">
      <c r="A9" s="17" t="s">
        <v>63</v>
      </c>
      <c r="B9" s="23">
        <f>_xlfn.CHISQ.TEST(B2:D3,B5:D6)</f>
        <v>5.329673025191137E-14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993"/>
  <sheetViews>
    <sheetView workbookViewId="0"/>
  </sheetViews>
  <sheetFormatPr defaultColWidth="11.25" defaultRowHeight="15" customHeight="1"/>
  <cols>
    <col min="1" max="1" width="12.125" customWidth="1"/>
    <col min="2" max="2" width="16.5" customWidth="1"/>
  </cols>
  <sheetData>
    <row r="1" spans="1:5">
      <c r="A1" s="26" t="s">
        <v>74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366</v>
      </c>
      <c r="C2" s="29">
        <v>143</v>
      </c>
      <c r="D2" s="29">
        <v>31</v>
      </c>
      <c r="E2" s="28">
        <f t="shared" ref="E2:E3" si="0">SUM(B2:D2)</f>
        <v>540</v>
      </c>
    </row>
    <row r="3" spans="1:5">
      <c r="A3" s="29">
        <v>6</v>
      </c>
      <c r="B3" s="11">
        <v>51</v>
      </c>
      <c r="C3" s="12">
        <v>13</v>
      </c>
      <c r="D3" s="13">
        <v>26</v>
      </c>
      <c r="E3" s="28">
        <f t="shared" si="0"/>
        <v>90</v>
      </c>
    </row>
    <row r="5" spans="1:5">
      <c r="A5" s="57"/>
      <c r="B5" s="38">
        <f>E2*SUM(B$2:B$3)/SUM($E$2:$E$3)</f>
        <v>357.42857142857144</v>
      </c>
      <c r="C5" s="38">
        <f t="shared" ref="C5:D5" si="1">$E2*SUM(C$2:C$3)/SUM($E$2:$E$3)</f>
        <v>133.71428571428572</v>
      </c>
      <c r="D5" s="38">
        <f t="shared" si="1"/>
        <v>48.857142857142854</v>
      </c>
      <c r="E5" s="29"/>
    </row>
    <row r="6" spans="1:5">
      <c r="A6" s="60"/>
      <c r="B6" s="31">
        <f>E3*SUM(B2:B3)/SUM(E2:E3)</f>
        <v>59.571428571428569</v>
      </c>
      <c r="C6" s="31">
        <f>E3*SUM(C2:C3)/SUM(E2:E3)</f>
        <v>22.285714285714285</v>
      </c>
      <c r="D6" s="31">
        <f>E3*SUM(D2:D3)/SUM(E2:E3)</f>
        <v>8.1428571428571423</v>
      </c>
      <c r="E6" s="29"/>
    </row>
    <row r="8" spans="1:5">
      <c r="A8" s="17"/>
      <c r="B8" s="33"/>
    </row>
    <row r="9" spans="1:5">
      <c r="A9" s="17" t="s">
        <v>63</v>
      </c>
      <c r="B9" s="23">
        <f>_xlfn.CHISQ.TEST(B2:D3,B5:D6)</f>
        <v>6.1170806184930584E-12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93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385</v>
      </c>
      <c r="C2" s="29">
        <v>95</v>
      </c>
      <c r="D2" s="29">
        <v>60</v>
      </c>
      <c r="E2" s="28">
        <f t="shared" ref="E2:E3" si="0">SUM(B2:D2)</f>
        <v>540</v>
      </c>
    </row>
    <row r="3" spans="1:5">
      <c r="A3" s="29">
        <v>4</v>
      </c>
      <c r="B3" s="29">
        <v>67</v>
      </c>
      <c r="C3" s="29">
        <v>18</v>
      </c>
      <c r="D3" s="29">
        <v>5</v>
      </c>
      <c r="E3" s="28">
        <f t="shared" si="0"/>
        <v>90</v>
      </c>
    </row>
    <row r="5" spans="1:5">
      <c r="A5" s="57"/>
      <c r="B5" s="38">
        <f>E2*SUM(B$2:B$3)/SUM($E$2:$E$3)</f>
        <v>387.42857142857144</v>
      </c>
      <c r="C5" s="38">
        <f t="shared" ref="C5:D5" si="1">$E2*SUM(C$2:C$3)/SUM($E$2:$E$3)</f>
        <v>96.857142857142861</v>
      </c>
      <c r="D5" s="38">
        <f t="shared" si="1"/>
        <v>55.714285714285715</v>
      </c>
      <c r="E5" s="29"/>
    </row>
    <row r="6" spans="1:5">
      <c r="A6" s="60"/>
      <c r="B6" s="31">
        <f>E3*SUM(B2:B3)/SUM(E2:E3)</f>
        <v>64.571428571428569</v>
      </c>
      <c r="C6" s="31">
        <f>E3*SUM(C2:C3)/SUM(E2:E3)</f>
        <v>16.142857142857142</v>
      </c>
      <c r="D6" s="31">
        <f>E3*SUM(D2:D3)/SUM(E2:E3)</f>
        <v>9.2857142857142865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0.26401241954872129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>
      <c r="B15" s="39"/>
    </row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993"/>
  <sheetViews>
    <sheetView workbookViewId="0"/>
  </sheetViews>
  <sheetFormatPr defaultColWidth="11.25" defaultRowHeight="15" customHeight="1"/>
  <cols>
    <col min="2" max="2" width="16.5" customWidth="1"/>
  </cols>
  <sheetData>
    <row r="1" spans="1:8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8">
      <c r="A2" s="29" t="s">
        <v>73</v>
      </c>
      <c r="B2" s="29">
        <v>376</v>
      </c>
      <c r="C2" s="29">
        <v>123</v>
      </c>
      <c r="D2" s="29">
        <v>41</v>
      </c>
      <c r="E2" s="28">
        <f t="shared" ref="E2:E3" si="0">SUM(B2:D2)</f>
        <v>540</v>
      </c>
    </row>
    <row r="3" spans="1:8">
      <c r="A3" s="29">
        <v>4</v>
      </c>
      <c r="B3" s="29">
        <v>68</v>
      </c>
      <c r="C3" s="29">
        <v>20</v>
      </c>
      <c r="D3" s="29">
        <v>2</v>
      </c>
      <c r="E3" s="28">
        <f t="shared" si="0"/>
        <v>90</v>
      </c>
    </row>
    <row r="5" spans="1:8">
      <c r="A5" s="57"/>
      <c r="B5" s="38">
        <f>E2*SUM(B$2:B$3)/SUM($E$2:$E$3)</f>
        <v>380.57142857142856</v>
      </c>
      <c r="C5" s="38">
        <f t="shared" ref="C5:D5" si="1">$E2*SUM(C$2:C$3)/SUM($E$2:$E$3)</f>
        <v>122.57142857142857</v>
      </c>
      <c r="D5" s="38">
        <f t="shared" si="1"/>
        <v>36.857142857142854</v>
      </c>
      <c r="E5" s="29"/>
    </row>
    <row r="6" spans="1:8">
      <c r="A6" s="60"/>
      <c r="B6" s="31">
        <f>E3*SUM(B2:B3)/SUM(E2:E3)</f>
        <v>63.428571428571431</v>
      </c>
      <c r="C6" s="31">
        <f>E3*SUM(C2:C3)/SUM(E2:E3)</f>
        <v>20.428571428571427</v>
      </c>
      <c r="D6" s="31">
        <f>E3*SUM(D2:D3)/SUM(E2:E3)</f>
        <v>6.1428571428571432</v>
      </c>
      <c r="E6" s="29"/>
      <c r="H6" s="39"/>
    </row>
    <row r="8" spans="1:8">
      <c r="A8" s="17"/>
      <c r="B8" s="33"/>
    </row>
    <row r="9" spans="1:8">
      <c r="A9" s="17" t="s">
        <v>63</v>
      </c>
      <c r="B9" s="23">
        <f>_xlfn.CHISQ.TEST(B2:D3,B5:D6)</f>
        <v>0.1608501796084022</v>
      </c>
      <c r="C9" s="17" t="s">
        <v>69</v>
      </c>
    </row>
    <row r="10" spans="1:8">
      <c r="B10" s="34" t="s">
        <v>65</v>
      </c>
      <c r="C10" s="32" t="s">
        <v>70</v>
      </c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993"/>
  <sheetViews>
    <sheetView workbookViewId="0"/>
  </sheetViews>
  <sheetFormatPr defaultColWidth="11.25" defaultRowHeight="15" customHeight="1"/>
  <cols>
    <col min="1" max="1" width="12.125" customWidth="1"/>
    <col min="2" max="2" width="16.5" customWidth="1"/>
  </cols>
  <sheetData>
    <row r="1" spans="1:9">
      <c r="A1" s="26" t="s">
        <v>74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9">
      <c r="A2" s="29" t="s">
        <v>73</v>
      </c>
      <c r="B2" s="29">
        <v>344</v>
      </c>
      <c r="C2" s="29">
        <v>140</v>
      </c>
      <c r="D2" s="29">
        <v>56</v>
      </c>
      <c r="E2" s="28">
        <f t="shared" ref="E2:E3" si="0">SUM(B2:D2)</f>
        <v>540</v>
      </c>
    </row>
    <row r="3" spans="1:9">
      <c r="A3" s="29">
        <v>4</v>
      </c>
      <c r="B3" s="11">
        <v>73</v>
      </c>
      <c r="C3" s="12">
        <v>16</v>
      </c>
      <c r="D3" s="40">
        <v>1</v>
      </c>
      <c r="E3" s="28">
        <f t="shared" si="0"/>
        <v>90</v>
      </c>
    </row>
    <row r="5" spans="1:9">
      <c r="A5" s="57"/>
      <c r="B5" s="38">
        <f>E2*SUM(B$2:B$3)/SUM($E$2:$E$3)</f>
        <v>357.42857142857144</v>
      </c>
      <c r="C5" s="38">
        <f t="shared" ref="C5:D5" si="1">$E2*SUM(C$2:C$3)/SUM($E$2:$E$3)</f>
        <v>133.71428571428572</v>
      </c>
      <c r="D5" s="38">
        <f t="shared" si="1"/>
        <v>48.857142857142854</v>
      </c>
      <c r="E5" s="29"/>
    </row>
    <row r="6" spans="1:9">
      <c r="A6" s="60"/>
      <c r="B6" s="31">
        <f>E3*SUM(B2:B3)/SUM(E2:E3)</f>
        <v>59.571428571428569</v>
      </c>
      <c r="C6" s="31">
        <f>E3*SUM(C2:C3)/SUM(E2:E3)</f>
        <v>22.285714285714285</v>
      </c>
      <c r="D6" s="31">
        <f>E3*SUM(D2:D3)/SUM(E2:E3)</f>
        <v>8.1428571428571423</v>
      </c>
      <c r="E6" s="29"/>
      <c r="I6" s="39"/>
    </row>
    <row r="8" spans="1:9">
      <c r="A8" s="17"/>
      <c r="B8" s="33"/>
    </row>
    <row r="9" spans="1:9">
      <c r="A9" s="17" t="s">
        <v>63</v>
      </c>
      <c r="B9" s="23">
        <f>_xlfn.CHISQ.TEST(B2:D3,B5:D6)</f>
        <v>1.572723947593574E-3</v>
      </c>
      <c r="C9" s="17" t="s">
        <v>69</v>
      </c>
    </row>
    <row r="10" spans="1:9">
      <c r="B10" s="34" t="s">
        <v>65</v>
      </c>
      <c r="C10" s="32" t="s">
        <v>70</v>
      </c>
    </row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93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324</v>
      </c>
      <c r="C2" s="29">
        <v>75</v>
      </c>
      <c r="D2" s="29">
        <v>51</v>
      </c>
      <c r="E2" s="28">
        <f t="shared" ref="E2:E3" si="0">SUM(B2:D2)</f>
        <v>450</v>
      </c>
    </row>
    <row r="3" spans="1:5">
      <c r="A3" s="29">
        <v>1</v>
      </c>
      <c r="B3" s="29">
        <v>128</v>
      </c>
      <c r="C3" s="29">
        <v>38</v>
      </c>
      <c r="D3" s="29">
        <v>14</v>
      </c>
      <c r="E3" s="28">
        <f t="shared" si="0"/>
        <v>180</v>
      </c>
    </row>
    <row r="5" spans="1:5">
      <c r="A5" s="57"/>
      <c r="B5" s="38">
        <f>E2*SUM(B$2:B$3)/SUM($E$2:$E$3)</f>
        <v>322.85714285714283</v>
      </c>
      <c r="C5" s="38">
        <f t="shared" ref="C5:D5" si="1">$E2*SUM(C$2:C$3)/SUM($E$2:$E$3)</f>
        <v>80.714285714285708</v>
      </c>
      <c r="D5" s="38">
        <f t="shared" si="1"/>
        <v>46.428571428571431</v>
      </c>
      <c r="E5" s="29"/>
    </row>
    <row r="6" spans="1:5">
      <c r="A6" s="60"/>
      <c r="B6" s="31">
        <f>E3*SUM(B2:B3)/SUM(E2:E3)</f>
        <v>129.14285714285714</v>
      </c>
      <c r="C6" s="31">
        <f>E3*SUM(C2:C3)/SUM(E2:E3)</f>
        <v>32.285714285714285</v>
      </c>
      <c r="D6" s="31">
        <f>E3*SUM(D2:D3)/SUM(E2:E3)</f>
        <v>18.571428571428573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0.22252038680576769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993"/>
  <sheetViews>
    <sheetView workbookViewId="0"/>
  </sheetViews>
  <sheetFormatPr defaultColWidth="11.25" defaultRowHeight="15" customHeight="1"/>
  <cols>
    <col min="2" max="2" width="16.5" customWidth="1"/>
  </cols>
  <sheetData>
    <row r="1" spans="1:5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314</v>
      </c>
      <c r="C2" s="29">
        <v>100</v>
      </c>
      <c r="D2" s="29">
        <v>36</v>
      </c>
      <c r="E2" s="28">
        <f t="shared" ref="E2:E3" si="0">SUM(B2:D2)</f>
        <v>450</v>
      </c>
    </row>
    <row r="3" spans="1:5">
      <c r="A3" s="29">
        <v>1</v>
      </c>
      <c r="B3" s="29">
        <v>130</v>
      </c>
      <c r="C3" s="29">
        <v>43</v>
      </c>
      <c r="D3" s="29">
        <v>7</v>
      </c>
      <c r="E3" s="28">
        <f t="shared" si="0"/>
        <v>180</v>
      </c>
    </row>
    <row r="5" spans="1:5">
      <c r="A5" s="57"/>
      <c r="B5" s="38">
        <f>E2*SUM(B$2:B$3)/SUM($E$2:$E$3)</f>
        <v>317.14285714285717</v>
      </c>
      <c r="C5" s="38">
        <f t="shared" ref="C5:D5" si="1">$E2*SUM(C$2:C$3)/SUM($E$2:$E$3)</f>
        <v>102.14285714285714</v>
      </c>
      <c r="D5" s="38">
        <f t="shared" si="1"/>
        <v>30.714285714285715</v>
      </c>
      <c r="E5" s="29"/>
    </row>
    <row r="6" spans="1:5">
      <c r="A6" s="60"/>
      <c r="B6" s="31">
        <f>E3*SUM(B2:B3)/SUM(E2:E3)</f>
        <v>126.85714285714286</v>
      </c>
      <c r="C6" s="31">
        <f>E3*SUM(C2:C3)/SUM(E2:E3)</f>
        <v>40.857142857142854</v>
      </c>
      <c r="D6" s="31">
        <f>E3*SUM(D2:D3)/SUM(E2:E3)</f>
        <v>12.285714285714286</v>
      </c>
      <c r="E6" s="29"/>
    </row>
    <row r="8" spans="1:5">
      <c r="A8" s="17"/>
      <c r="B8" s="33"/>
    </row>
    <row r="9" spans="1:5">
      <c r="A9" s="17" t="s">
        <v>63</v>
      </c>
      <c r="B9" s="23">
        <f>_xlfn.CHISQ.TEST(B2:D3,B5:D6)</f>
        <v>0.17816658451279457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993"/>
  <sheetViews>
    <sheetView workbookViewId="0"/>
  </sheetViews>
  <sheetFormatPr defaultColWidth="11.25" defaultRowHeight="15" customHeight="1"/>
  <cols>
    <col min="1" max="1" width="12.125" customWidth="1"/>
    <col min="2" max="2" width="16.5" customWidth="1"/>
  </cols>
  <sheetData>
    <row r="1" spans="1:9">
      <c r="A1" s="26" t="s">
        <v>74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9">
      <c r="A2" s="29" t="s">
        <v>73</v>
      </c>
      <c r="B2" s="29">
        <v>305</v>
      </c>
      <c r="C2" s="29">
        <v>95</v>
      </c>
      <c r="D2" s="29">
        <v>50</v>
      </c>
      <c r="E2" s="28">
        <f t="shared" ref="E2:E3" si="0">SUM(B2:D2)</f>
        <v>450</v>
      </c>
    </row>
    <row r="3" spans="1:9">
      <c r="A3" s="29">
        <v>1</v>
      </c>
      <c r="B3" s="41">
        <v>112</v>
      </c>
      <c r="C3" s="42">
        <v>61</v>
      </c>
      <c r="D3" s="40">
        <v>7</v>
      </c>
      <c r="E3" s="28">
        <f t="shared" si="0"/>
        <v>180</v>
      </c>
    </row>
    <row r="5" spans="1:9">
      <c r="A5" s="57"/>
      <c r="B5" s="38">
        <f>E2*SUM(B$2:B$3)/SUM($E$2:$E$3)</f>
        <v>297.85714285714283</v>
      </c>
      <c r="C5" s="38">
        <f t="shared" ref="C5:D5" si="1">$E2*SUM(C$2:C$3)/SUM($E$2:$E$3)</f>
        <v>111.42857142857143</v>
      </c>
      <c r="D5" s="38">
        <f t="shared" si="1"/>
        <v>40.714285714285715</v>
      </c>
      <c r="E5" s="29"/>
    </row>
    <row r="6" spans="1:9">
      <c r="A6" s="60"/>
      <c r="B6" s="31">
        <f>E3*SUM(B2:B3)/SUM(E2:E3)</f>
        <v>119.14285714285714</v>
      </c>
      <c r="C6" s="31">
        <f>E3*SUM(C2:C3)/SUM(E2:E3)</f>
        <v>44.571428571428569</v>
      </c>
      <c r="D6" s="31">
        <f>E3*SUM(D2:D3)/SUM(E2:E3)</f>
        <v>16.285714285714285</v>
      </c>
      <c r="E6" s="29"/>
      <c r="I6" s="39"/>
    </row>
    <row r="8" spans="1:9">
      <c r="A8" s="17"/>
      <c r="B8" s="33"/>
    </row>
    <row r="9" spans="1:9">
      <c r="A9" s="17" t="s">
        <v>63</v>
      </c>
      <c r="B9" s="23">
        <f>_xlfn.CHISQ.TEST(B2:D3,B5:D6)</f>
        <v>2.6265147519324204E-4</v>
      </c>
      <c r="C9" s="17" t="s">
        <v>69</v>
      </c>
    </row>
    <row r="10" spans="1:9">
      <c r="B10" s="34" t="s">
        <v>65</v>
      </c>
      <c r="C10" s="32" t="s">
        <v>70</v>
      </c>
    </row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993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272</v>
      </c>
      <c r="C2" s="29">
        <v>62</v>
      </c>
      <c r="D2" s="29">
        <v>26</v>
      </c>
      <c r="E2" s="28">
        <f t="shared" ref="E2:E3" si="0">SUM(B2:D2)</f>
        <v>360</v>
      </c>
    </row>
    <row r="3" spans="1:5">
      <c r="A3" s="29">
        <v>1</v>
      </c>
      <c r="B3" s="29">
        <v>128</v>
      </c>
      <c r="C3" s="29">
        <v>38</v>
      </c>
      <c r="D3" s="29">
        <v>14</v>
      </c>
      <c r="E3" s="28">
        <f t="shared" si="0"/>
        <v>180</v>
      </c>
    </row>
    <row r="5" spans="1:5">
      <c r="A5" s="57"/>
      <c r="B5" s="38">
        <f>E2*SUM(B$2:B$3)/SUM($E$2:$E$3)</f>
        <v>266.66666666666669</v>
      </c>
      <c r="C5" s="38">
        <f t="shared" ref="C5:D5" si="1">$E2*SUM(C$2:C$3)/SUM($E$2:$E$3)</f>
        <v>66.666666666666671</v>
      </c>
      <c r="D5" s="38">
        <f t="shared" si="1"/>
        <v>26.666666666666668</v>
      </c>
      <c r="E5" s="29"/>
    </row>
    <row r="6" spans="1:5">
      <c r="A6" s="60"/>
      <c r="B6" s="31">
        <f>E3*SUM(B2:B3)/SUM(E2:E3)</f>
        <v>133.33333333333334</v>
      </c>
      <c r="C6" s="31">
        <f>E3*SUM(C2:C3)/SUM(E2:E3)</f>
        <v>33.333333333333336</v>
      </c>
      <c r="D6" s="31">
        <f>E3*SUM(D2:D3)/SUM(E2:E3)</f>
        <v>13.333333333333334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0.50915642060754918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/>
    <row r="17" spans="9:9" ht="15.75" customHeight="1"/>
    <row r="18" spans="9:9" ht="15.75" customHeight="1"/>
    <row r="19" spans="9:9" ht="15.75" customHeight="1"/>
    <row r="20" spans="9:9" ht="15.75" customHeight="1"/>
    <row r="21" spans="9:9" ht="15.75" customHeight="1"/>
    <row r="22" spans="9:9" ht="15.75" customHeight="1">
      <c r="I22" s="39"/>
    </row>
    <row r="23" spans="9:9" ht="15.75" customHeight="1"/>
    <row r="24" spans="9:9" ht="15.75" customHeight="1"/>
    <row r="25" spans="9:9" ht="15.75" customHeight="1"/>
    <row r="26" spans="9:9" ht="15.75" customHeight="1"/>
    <row r="27" spans="9:9" ht="15.75" customHeight="1"/>
    <row r="28" spans="9:9" ht="15.75" customHeight="1"/>
    <row r="29" spans="9:9" ht="15.75" customHeight="1"/>
    <row r="30" spans="9:9" ht="15.75" customHeight="1"/>
    <row r="31" spans="9:9" ht="15.75" customHeight="1"/>
    <row r="32" spans="9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993"/>
  <sheetViews>
    <sheetView workbookViewId="0"/>
  </sheetViews>
  <sheetFormatPr defaultColWidth="11.25" defaultRowHeight="15" customHeight="1"/>
  <cols>
    <col min="2" max="2" width="16.5" customWidth="1"/>
  </cols>
  <sheetData>
    <row r="1" spans="1:5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274</v>
      </c>
      <c r="C2" s="29">
        <v>72</v>
      </c>
      <c r="D2" s="29">
        <v>14</v>
      </c>
      <c r="E2" s="28">
        <f t="shared" ref="E2:E3" si="0">SUM(B2:D2)</f>
        <v>360</v>
      </c>
    </row>
    <row r="3" spans="1:5">
      <c r="A3" s="29">
        <v>1</v>
      </c>
      <c r="B3" s="29">
        <v>130</v>
      </c>
      <c r="C3" s="29">
        <v>43</v>
      </c>
      <c r="D3" s="29">
        <v>7</v>
      </c>
      <c r="E3" s="28">
        <f t="shared" si="0"/>
        <v>180</v>
      </c>
    </row>
    <row r="5" spans="1:5">
      <c r="A5" s="57"/>
      <c r="B5" s="38">
        <f>E2*SUM(B$2:B$3)/SUM($E$2:$E$3)</f>
        <v>269.33333333333331</v>
      </c>
      <c r="C5" s="38">
        <f t="shared" ref="C5:D5" si="1">$E2*SUM(C$2:C$3)/SUM($E$2:$E$3)</f>
        <v>76.666666666666671</v>
      </c>
      <c r="D5" s="38">
        <f t="shared" si="1"/>
        <v>14</v>
      </c>
      <c r="E5" s="29"/>
    </row>
    <row r="6" spans="1:5">
      <c r="A6" s="60"/>
      <c r="B6" s="31">
        <f>E3*SUM(B2:B3)/SUM(E2:E3)</f>
        <v>134.66666666666666</v>
      </c>
      <c r="C6" s="31">
        <f>E3*SUM(C2:C3)/SUM(E2:E3)</f>
        <v>38.333333333333336</v>
      </c>
      <c r="D6" s="31">
        <f>E3*SUM(D2:D3)/SUM(E2:E3)</f>
        <v>7</v>
      </c>
      <c r="E6" s="29"/>
    </row>
    <row r="8" spans="1:5">
      <c r="A8" s="17"/>
      <c r="B8" s="33"/>
    </row>
    <row r="9" spans="1:5">
      <c r="A9" s="17" t="s">
        <v>63</v>
      </c>
      <c r="B9" s="23">
        <f>_xlfn.CHISQ.TEST(B2:D3,B5:D6)</f>
        <v>0.57846682230675794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/>
    <row r="16" spans="1:5" ht="15.75" customHeight="1">
      <c r="E16" s="39">
        <v>0.57846682000000005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993"/>
  <sheetViews>
    <sheetView workbookViewId="0"/>
  </sheetViews>
  <sheetFormatPr defaultColWidth="11.25" defaultRowHeight="15" customHeight="1"/>
  <cols>
    <col min="1" max="1" width="12.125" customWidth="1"/>
    <col min="2" max="2" width="16.5" customWidth="1"/>
  </cols>
  <sheetData>
    <row r="1" spans="1:9">
      <c r="A1" s="26" t="s">
        <v>74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9">
      <c r="A2" s="29" t="s">
        <v>73</v>
      </c>
      <c r="B2" s="29">
        <v>254</v>
      </c>
      <c r="C2" s="29">
        <v>82</v>
      </c>
      <c r="D2" s="29">
        <v>24</v>
      </c>
      <c r="E2" s="28">
        <f t="shared" ref="E2:E3" si="0">SUM(B2:D2)</f>
        <v>360</v>
      </c>
    </row>
    <row r="3" spans="1:9">
      <c r="A3" s="29">
        <v>1</v>
      </c>
      <c r="B3" s="41">
        <v>112</v>
      </c>
      <c r="C3" s="42">
        <v>61</v>
      </c>
      <c r="D3" s="40">
        <v>7</v>
      </c>
      <c r="E3" s="28">
        <f t="shared" si="0"/>
        <v>180</v>
      </c>
    </row>
    <row r="5" spans="1:9">
      <c r="A5" s="57"/>
      <c r="B5" s="38">
        <f>E2*SUM(B$2:B$3)/SUM($E$2:$E$3)</f>
        <v>244</v>
      </c>
      <c r="C5" s="38">
        <f t="shared" ref="C5:D5" si="1">$E2*SUM(C$2:C$3)/SUM($E$2:$E$3)</f>
        <v>95.333333333333329</v>
      </c>
      <c r="D5" s="38">
        <f t="shared" si="1"/>
        <v>20.666666666666668</v>
      </c>
      <c r="E5" s="29"/>
    </row>
    <row r="6" spans="1:9">
      <c r="A6" s="60"/>
      <c r="B6" s="31">
        <f>E3*SUM(B2:B3)/SUM(E2:E3)</f>
        <v>122</v>
      </c>
      <c r="C6" s="31">
        <f>E3*SUM(C2:C3)/SUM(E2:E3)</f>
        <v>47.666666666666664</v>
      </c>
      <c r="D6" s="31">
        <f>E3*SUM(D2:D3)/SUM(E2:E3)</f>
        <v>10.333333333333334</v>
      </c>
      <c r="E6" s="29"/>
      <c r="I6" s="39"/>
    </row>
    <row r="8" spans="1:9">
      <c r="A8" s="17"/>
      <c r="B8" s="33"/>
    </row>
    <row r="9" spans="1:9">
      <c r="A9" s="17" t="s">
        <v>63</v>
      </c>
      <c r="B9" s="23">
        <f>_xlfn.CHISQ.TEST(B2:D3,B5:D6)</f>
        <v>1.4722055897757935E-2</v>
      </c>
      <c r="C9" s="17" t="s">
        <v>69</v>
      </c>
    </row>
    <row r="10" spans="1:9">
      <c r="B10" s="34" t="s">
        <v>65</v>
      </c>
      <c r="C10" s="32" t="s">
        <v>70</v>
      </c>
    </row>
    <row r="14" spans="1:9" ht="15.75" customHeight="1">
      <c r="C14" s="39"/>
    </row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993"/>
  <sheetViews>
    <sheetView workbookViewId="0"/>
  </sheetViews>
  <sheetFormatPr defaultColWidth="11.25" defaultRowHeight="15" customHeight="1"/>
  <sheetData>
    <row r="1" spans="1:5">
      <c r="A1" s="26" t="s">
        <v>71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5">
      <c r="A2" s="29" t="s">
        <v>73</v>
      </c>
      <c r="B2" s="29">
        <v>333</v>
      </c>
      <c r="C2" s="29">
        <v>82</v>
      </c>
      <c r="D2" s="29">
        <v>35</v>
      </c>
      <c r="E2" s="28">
        <f t="shared" ref="E2:E3" si="0">SUM(B2:D2)</f>
        <v>450</v>
      </c>
    </row>
    <row r="3" spans="1:5">
      <c r="A3" s="29">
        <v>4</v>
      </c>
      <c r="B3" s="29">
        <v>67</v>
      </c>
      <c r="C3" s="29">
        <v>18</v>
      </c>
      <c r="D3" s="29">
        <v>5</v>
      </c>
      <c r="E3" s="28">
        <f t="shared" si="0"/>
        <v>90</v>
      </c>
    </row>
    <row r="5" spans="1:5">
      <c r="A5" s="57"/>
      <c r="B5" s="38">
        <f>E2*SUM(B$2:B$3)/SUM($E$2:$E$3)</f>
        <v>333.33333333333331</v>
      </c>
      <c r="C5" s="38">
        <f t="shared" ref="C5:D5" si="1">$E2*SUM(C$2:C$3)/SUM($E$2:$E$3)</f>
        <v>83.333333333333329</v>
      </c>
      <c r="D5" s="38">
        <f t="shared" si="1"/>
        <v>33.333333333333336</v>
      </c>
      <c r="E5" s="29"/>
    </row>
    <row r="6" spans="1:5">
      <c r="A6" s="60"/>
      <c r="B6" s="31">
        <f>E3*SUM(B2:B3)/SUM(E2:E3)</f>
        <v>66.666666666666671</v>
      </c>
      <c r="C6" s="31">
        <f>E3*SUM(C2:C3)/SUM(E2:E3)</f>
        <v>16.666666666666668</v>
      </c>
      <c r="D6" s="31">
        <f>E3*SUM(D2:D3)/SUM(E2:E3)</f>
        <v>6.666666666666667</v>
      </c>
      <c r="E6" s="29"/>
    </row>
    <row r="8" spans="1:5">
      <c r="A8" s="17"/>
      <c r="B8" s="33"/>
    </row>
    <row r="9" spans="1:5">
      <c r="A9" s="17" t="s">
        <v>63</v>
      </c>
      <c r="B9" s="21">
        <f>_xlfn.CHISQ.TEST(B2:D3,B5:D6)</f>
        <v>0.72978887426905703</v>
      </c>
      <c r="C9" s="17" t="s">
        <v>69</v>
      </c>
    </row>
    <row r="10" spans="1:5">
      <c r="B10" s="34" t="s">
        <v>65</v>
      </c>
      <c r="C10" s="32" t="s">
        <v>70</v>
      </c>
    </row>
    <row r="14" spans="1:5" ht="15.75" customHeight="1"/>
    <row r="15" spans="1:5" ht="15.75" customHeight="1">
      <c r="B15" s="39"/>
    </row>
    <row r="16" spans="1:5" ht="15.75" customHeight="1"/>
    <row r="17" spans="11:11" ht="15.75" customHeight="1"/>
    <row r="18" spans="11:11" ht="15.75" customHeight="1"/>
    <row r="19" spans="11:11" ht="15.75" customHeight="1"/>
    <row r="20" spans="11:11" ht="15.75" customHeight="1"/>
    <row r="21" spans="11:11" ht="15.75" customHeight="1"/>
    <row r="22" spans="11:11" ht="15.75" customHeight="1">
      <c r="K22" s="39"/>
    </row>
    <row r="23" spans="11:11" ht="15.75" customHeight="1"/>
    <row r="24" spans="11:11" ht="15.75" customHeight="1"/>
    <row r="25" spans="11:11" ht="15.75" customHeight="1"/>
    <row r="26" spans="11:11" ht="15.75" customHeight="1"/>
    <row r="27" spans="11:11" ht="15.75" customHeight="1"/>
    <row r="28" spans="11:11" ht="15.75" customHeight="1"/>
    <row r="29" spans="11:11" ht="15.75" customHeight="1"/>
    <row r="30" spans="11:11" ht="15.75" customHeight="1"/>
    <row r="31" spans="11:11" ht="15.75" customHeight="1"/>
    <row r="32" spans="1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993"/>
  <sheetViews>
    <sheetView workbookViewId="0"/>
  </sheetViews>
  <sheetFormatPr defaultColWidth="11.25" defaultRowHeight="15" customHeight="1"/>
  <cols>
    <col min="2" max="2" width="16.5" customWidth="1"/>
  </cols>
  <sheetData>
    <row r="1" spans="1:8">
      <c r="A1" s="26" t="s">
        <v>72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8">
      <c r="A2" s="29" t="s">
        <v>73</v>
      </c>
      <c r="B2" s="29">
        <v>336</v>
      </c>
      <c r="C2" s="29">
        <v>95</v>
      </c>
      <c r="D2" s="29">
        <v>19</v>
      </c>
      <c r="E2" s="28">
        <f t="shared" ref="E2:E3" si="0">SUM(B2:D2)</f>
        <v>450</v>
      </c>
    </row>
    <row r="3" spans="1:8">
      <c r="A3" s="29">
        <v>4</v>
      </c>
      <c r="B3" s="29">
        <v>68</v>
      </c>
      <c r="C3" s="29">
        <v>20</v>
      </c>
      <c r="D3" s="29">
        <v>2</v>
      </c>
      <c r="E3" s="28">
        <f t="shared" si="0"/>
        <v>90</v>
      </c>
    </row>
    <row r="5" spans="1:8">
      <c r="A5" s="57"/>
      <c r="B5" s="38">
        <f>E2*SUM(B$2:B$3)/SUM($E$2:$E$3)</f>
        <v>336.66666666666669</v>
      </c>
      <c r="C5" s="38">
        <f t="shared" ref="C5:D5" si="1">$E2*SUM(C$2:C$3)/SUM($E$2:$E$3)</f>
        <v>95.833333333333329</v>
      </c>
      <c r="D5" s="38">
        <f t="shared" si="1"/>
        <v>17.5</v>
      </c>
      <c r="E5" s="29"/>
    </row>
    <row r="6" spans="1:8">
      <c r="A6" s="60"/>
      <c r="B6" s="31">
        <f>E3*SUM(B2:B3)/SUM(E2:E3)</f>
        <v>67.333333333333329</v>
      </c>
      <c r="C6" s="31">
        <f>E3*SUM(C2:C3)/SUM(E2:E3)</f>
        <v>19.166666666666668</v>
      </c>
      <c r="D6" s="31">
        <f>E3*SUM(D2:D3)/SUM(E2:E3)</f>
        <v>3.5</v>
      </c>
      <c r="E6" s="29"/>
      <c r="H6" s="39"/>
    </row>
    <row r="8" spans="1:8">
      <c r="A8" s="17"/>
      <c r="B8" s="33"/>
    </row>
    <row r="9" spans="1:8">
      <c r="A9" s="17" t="s">
        <v>63</v>
      </c>
      <c r="B9" s="23">
        <f>_xlfn.CHISQ.TEST(B2:D3,B5:D6)</f>
        <v>0.66271263628478727</v>
      </c>
      <c r="C9" s="17" t="s">
        <v>69</v>
      </c>
    </row>
    <row r="10" spans="1:8">
      <c r="B10" s="34" t="s">
        <v>65</v>
      </c>
      <c r="C10" s="32" t="s">
        <v>70</v>
      </c>
    </row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993"/>
  <sheetViews>
    <sheetView workbookViewId="0"/>
  </sheetViews>
  <sheetFormatPr defaultColWidth="11.25" defaultRowHeight="15" customHeight="1"/>
  <cols>
    <col min="1" max="1" width="12.125" customWidth="1"/>
    <col min="2" max="2" width="16.5" customWidth="1"/>
  </cols>
  <sheetData>
    <row r="1" spans="1:9">
      <c r="A1" s="26" t="s">
        <v>74</v>
      </c>
      <c r="B1" s="28" t="s">
        <v>58</v>
      </c>
      <c r="C1" s="28" t="s">
        <v>5</v>
      </c>
      <c r="D1" s="28" t="s">
        <v>6</v>
      </c>
      <c r="E1" s="28" t="s">
        <v>59</v>
      </c>
    </row>
    <row r="2" spans="1:9">
      <c r="A2" s="29" t="s">
        <v>73</v>
      </c>
      <c r="B2" s="29">
        <v>293</v>
      </c>
      <c r="C2" s="29">
        <v>127</v>
      </c>
      <c r="D2" s="29">
        <v>30</v>
      </c>
      <c r="E2" s="28">
        <f t="shared" ref="E2:E3" si="0">SUM(B2:D2)</f>
        <v>450</v>
      </c>
    </row>
    <row r="3" spans="1:9">
      <c r="A3" s="29">
        <v>4</v>
      </c>
      <c r="B3" s="11">
        <v>73</v>
      </c>
      <c r="C3" s="12">
        <v>16</v>
      </c>
      <c r="D3" s="40">
        <v>1</v>
      </c>
      <c r="E3" s="28">
        <f t="shared" si="0"/>
        <v>90</v>
      </c>
    </row>
    <row r="5" spans="1:9">
      <c r="A5" s="57"/>
      <c r="B5" s="38">
        <f>E2*SUM(B$2:B$3)/SUM($E$2:$E$3)</f>
        <v>305</v>
      </c>
      <c r="C5" s="38">
        <f t="shared" ref="C5:D5" si="1">$E2*SUM(C$2:C$3)/SUM($E$2:$E$3)</f>
        <v>119.16666666666667</v>
      </c>
      <c r="D5" s="38">
        <f t="shared" si="1"/>
        <v>25.833333333333332</v>
      </c>
      <c r="E5" s="29"/>
    </row>
    <row r="6" spans="1:9">
      <c r="A6" s="60"/>
      <c r="B6" s="31">
        <f>E3*SUM(B2:B3)/SUM(E2:E3)</f>
        <v>61</v>
      </c>
      <c r="C6" s="31">
        <f>E3*SUM(C2:C3)/SUM(E2:E3)</f>
        <v>23.833333333333332</v>
      </c>
      <c r="D6" s="31">
        <f>E3*SUM(D2:D3)/SUM(E2:E3)</f>
        <v>5.166666666666667</v>
      </c>
      <c r="E6" s="29"/>
      <c r="I6" s="39"/>
    </row>
    <row r="8" spans="1:9">
      <c r="A8" s="17"/>
      <c r="B8" s="33"/>
    </row>
    <row r="9" spans="1:9">
      <c r="A9" s="17" t="s">
        <v>63</v>
      </c>
      <c r="B9" s="23">
        <f>_xlfn.CHISQ.TEST(B2:D3,B5:D6)</f>
        <v>6.8928011773316941E-3</v>
      </c>
      <c r="C9" s="17" t="s">
        <v>69</v>
      </c>
    </row>
    <row r="10" spans="1:9">
      <c r="B10" s="34" t="s">
        <v>65</v>
      </c>
      <c r="C10" s="32" t="s">
        <v>70</v>
      </c>
    </row>
    <row r="14" spans="1:9" ht="15.75" customHeight="1"/>
    <row r="15" spans="1:9" ht="15.75" customHeight="1"/>
    <row r="16" spans="1:9" ht="15.75" customHeight="1">
      <c r="D16" s="39"/>
    </row>
    <row r="17" spans="11:13" ht="15.75" customHeight="1"/>
    <row r="18" spans="11:13" ht="15.75" customHeight="1"/>
    <row r="19" spans="11:13" ht="15.75" customHeight="1"/>
    <row r="20" spans="11:13" ht="15.75" customHeight="1"/>
    <row r="21" spans="11:13" ht="15.75" customHeight="1">
      <c r="K21" s="1"/>
      <c r="L21" s="14"/>
      <c r="M21" s="14"/>
    </row>
    <row r="22" spans="11:13" ht="15.75" customHeight="1"/>
    <row r="23" spans="11:13" ht="15.75" customHeight="1"/>
    <row r="24" spans="11:13" ht="15.75" customHeight="1"/>
    <row r="25" spans="11:13" ht="15.75" customHeight="1"/>
    <row r="26" spans="11:13" ht="15.75" customHeight="1"/>
    <row r="27" spans="11:13" ht="15.75" customHeight="1"/>
    <row r="28" spans="11:13" ht="15.75" customHeight="1"/>
    <row r="29" spans="11:13" ht="15.75" customHeight="1"/>
    <row r="30" spans="11:13" ht="15.75" customHeight="1"/>
    <row r="31" spans="11:13" ht="15.75" customHeight="1"/>
    <row r="32" spans="1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5:A6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f6c878-4953-46e3-80e3-a1ae46647632">
      <Terms xmlns="http://schemas.microsoft.com/office/infopath/2007/PartnerControls"/>
    </lcf76f155ced4ddcb4097134ff3c332f>
    <TaxCatchAll xmlns="591ceb5d-c622-49df-821b-00c50c9c27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789E4417C47546AF62F66CEBC6C7FB" ma:contentTypeVersion="11" ma:contentTypeDescription="Crie um novo documento." ma:contentTypeScope="" ma:versionID="3c16c1b4b9ea0b949f5f86ca8bea557d">
  <xsd:schema xmlns:xsd="http://www.w3.org/2001/XMLSchema" xmlns:xs="http://www.w3.org/2001/XMLSchema" xmlns:p="http://schemas.microsoft.com/office/2006/metadata/properties" xmlns:ns2="5ff6c878-4953-46e3-80e3-a1ae46647632" xmlns:ns3="591ceb5d-c622-49df-821b-00c50c9c27d7" targetNamespace="http://schemas.microsoft.com/office/2006/metadata/properties" ma:root="true" ma:fieldsID="ea6b6a9c719fe41f46dad2ccecfbb954" ns2:_="" ns3:_="">
    <xsd:import namespace="5ff6c878-4953-46e3-80e3-a1ae46647632"/>
    <xsd:import namespace="591ceb5d-c622-49df-821b-00c50c9c2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6c878-4953-46e3-80e3-a1ae466476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1f837b-9003-4ae4-92fc-ab8355453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ceb5d-c622-49df-821b-00c50c9c27d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0e0f4f-0510-4195-926f-63692b54afb4}" ma:internalName="TaxCatchAll" ma:showField="CatchAllData" ma:web="591ceb5d-c622-49df-821b-00c50c9c27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6B6523-6708-4398-8162-9B46EB45AF56}"/>
</file>

<file path=customXml/itemProps2.xml><?xml version="1.0" encoding="utf-8"?>
<ds:datastoreItem xmlns:ds="http://schemas.openxmlformats.org/officeDocument/2006/customXml" ds:itemID="{B1C32DB9-D1DE-4867-90F0-CEFC892CE767}"/>
</file>

<file path=customXml/itemProps3.xml><?xml version="1.0" encoding="utf-8"?>
<ds:datastoreItem xmlns:ds="http://schemas.openxmlformats.org/officeDocument/2006/customXml" ds:itemID="{1D06B951-C13D-4B04-8CB3-0776CBED7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Rouver</cp:lastModifiedBy>
  <cp:revision/>
  <dcterms:created xsi:type="dcterms:W3CDTF">2025-10-22T21:37:43Z</dcterms:created>
  <dcterms:modified xsi:type="dcterms:W3CDTF">2025-11-19T06:24:18Z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0x01010074789E4417C47546AF62F66CEBC6C7FB</vt:lpwstr>
  </property>
  <property fmtid="{D5CDD505-2E9C-101B-9397-08002B2CF9AE}" pid="3" name="MediaServiceImageTags">
    <vt:lpwstr/>
  </property>
</Properties>
</file>