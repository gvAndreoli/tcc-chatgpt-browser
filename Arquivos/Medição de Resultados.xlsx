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hidePivotFieldList="1"/>
  <mc:AlternateContent xmlns:mc="http://schemas.openxmlformats.org/markup-compatibility/2006">
    <mc:Choice Requires="x15">
      <x15ac:absPath xmlns:x15ac="http://schemas.microsoft.com/office/spreadsheetml/2010/11/ac" url="https://pucpredu.sharepoint.com/teams/tccUsoIA/Documentos Compartilhados/Análise alucinações/"/>
    </mc:Choice>
  </mc:AlternateContent>
  <xr:revisionPtr revIDLastSave="8451" documentId="11_521138D9E3077646CE569339F05F04130E6C45B7" xr6:coauthVersionLast="47" xr6:coauthVersionMax="47" xr10:uidLastSave="{9A137DD9-5031-470F-8242-E03D29D33A93}"/>
  <bookViews>
    <workbookView xWindow="-108" yWindow="-108" windowWidth="23256" windowHeight="12456" xr2:uid="{00000000-000D-0000-FFFF-FFFF00000000}"/>
  </bookViews>
  <sheets>
    <sheet name="ZeroShot" sheetId="1" r:id="rId1"/>
    <sheet name="FewShots" sheetId="5" r:id="rId2"/>
    <sheet name="COT" sheetId="6" r:id="rId3"/>
    <sheet name="Resultados Extração" sheetId="7" r:id="rId4"/>
  </sheets>
  <definedNames>
    <definedName name="_xlnm._FilterDatabase" localSheetId="0" hidden="1">ZeroShot!$A$1:$D$270</definedName>
    <definedName name="_xlnm._FilterDatabase" localSheetId="1" hidden="1">FewShots!$A$1:$D$271</definedName>
    <definedName name="_xlnm._FilterDatabase" localSheetId="2" hidden="1">COT!$A$1:$T$271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1" i="7" l="1"/>
  <c r="P9" i="7"/>
  <c r="R9" i="7"/>
  <c r="Q9" i="7"/>
  <c r="U9" i="7"/>
  <c r="T9" i="7"/>
  <c r="S9" i="7"/>
  <c r="O9" i="7"/>
  <c r="N9" i="7"/>
  <c r="M9" i="7"/>
  <c r="J33" i="7"/>
  <c r="I33" i="7"/>
  <c r="H33" i="7"/>
  <c r="E33" i="7"/>
  <c r="F33" i="7"/>
  <c r="G33" i="7"/>
  <c r="D33" i="7"/>
  <c r="C33" i="7"/>
  <c r="B33" i="7"/>
  <c r="AQ80" i="6"/>
  <c r="AQ80" i="5"/>
  <c r="AQ80" i="1"/>
</calcChain>
</file>

<file path=xl/sharedStrings.xml><?xml version="1.0" encoding="utf-8"?>
<sst xmlns="http://schemas.openxmlformats.org/spreadsheetml/2006/main" count="8459" uniqueCount="2306">
  <si>
    <t>Tipo Prompt</t>
  </si>
  <si>
    <t>Quantidade</t>
  </si>
  <si>
    <t>Texto</t>
  </si>
  <si>
    <t>Grupo</t>
  </si>
  <si>
    <t>Texto 1</t>
  </si>
  <si>
    <t>Objetivo</t>
  </si>
  <si>
    <t>Alucinou?</t>
  </si>
  <si>
    <t>Pergunta de Pesquisa</t>
  </si>
  <si>
    <t>Tipo</t>
  </si>
  <si>
    <t>Metodologia</t>
  </si>
  <si>
    <t>Achados</t>
  </si>
  <si>
    <t>Conclusões</t>
  </si>
  <si>
    <t>Limitações</t>
  </si>
  <si>
    <t>Racional</t>
  </si>
  <si>
    <t>Zero</t>
  </si>
  <si>
    <t xml:space="preserve">**Objectives:** The paper aims to review and evaluate how artificial intelligence, particularly machine learning and large language models, is being applied to automate literature reviews. It examines existing tools, emerging methods, their strengths and limitations, and future directions for integrating AI into research practices.
</t>
  </si>
  <si>
    <t>Correto, 
trouxe info 
a mais 
que não 
estava no 
gabarito</t>
  </si>
  <si>
    <t xml:space="preserve">
**Research Questions:** What are the current AI-assisted tools used in literature reviews and their limitations?; How are emerging methods such as large language models, knowledge augmentation, and agentic frameworks improving literature review processes?; What open issues and challenges remain for AI in literature reviews, and how might future research address them?
</t>
  </si>
  <si>
    <t xml:space="preserve">**Study Type:** Survey (narrative literature review)
</t>
  </si>
  <si>
    <t>Correto</t>
  </si>
  <si>
    <t xml:space="preserve">**Methodology:** The authors collected data from published studies, technical reports, and system descriptions covering both traditional and LLM-based AI-assisted literature review tools. They analyzed these sources by grouping them into established methods, knowledge-augmented frameworks, and agentic frameworks. A comparative synthesis was conducted to highlight features, strengths, and limitations, including a table-based comparison of several commercial LLM 
</t>
  </si>
  <si>
    <t xml:space="preserve">**Main Findings:** Traditional machine learning-based tools streamline parts of the review process but are limited in scope, accuracy, and adaptability. Large language models provide significant advantages in contextual understanding, summarization, and citation analysis but face challenges such as hallucinations and reliance on specific databases. Knowledge augmentation techniques and agentic frameworks are promising solutions to improve reliability, adaptability, and performance. Despite advancements, current LLM-based tools cannot fully replace human reviewers, as they lack the ability to generate diagrams, propose new ideas, and consistently provide up-to-date information.
</t>
  </si>
  <si>
    <t xml:space="preserve">**Conclusions:** AI-assisted literature review tools greatly enhance efficiency and productivity, but their reliability remains hindered by issues such as hallucinations. Combining LLMs with knowledge augmentation and agentic frameworks offers a promising path forward, though further refinement is needed to overcome persistent limitations.
</t>
  </si>
  <si>
    <t xml:space="preserve">**Limitations:** Not explicitly stated
</t>
  </si>
  <si>
    <t>Sim</t>
  </si>
  <si>
    <t>**Objectives:** The paper aims to examine how AI, particularly large language models (LLMs), is transforming the automation of literature reviews. It surveys both current and emerging AI-based tools, highlighting their benefits, challenges, and limitations. It also explores future directions by analyzing approaches like knowledge augmentation and agentic frameworks.</t>
  </si>
  <si>
    <t>**Research Questions:** What are the current AI-based tools and methods used in literature reviews; How do large language models compare with traditional approaches; What challenges, such as hallucinations, affect the reliability of LLMs; What solutions, like knowledge augmentation and agentic frameworks, are being developed to improve AI-assisted literature reviews</t>
  </si>
  <si>
    <t>**Study Type:** Survey / literature review</t>
  </si>
  <si>
    <t>**Methodology:** The study conducts a comprehensive literature review of existing AI-assisted tools and frameworks for literature reviews. It categorizes methods into traditional approaches, LLM-based solutions, knowledge augmentation strategies, and agentic frameworks. The authors evaluate strengths, limitations, and comparative features of tools using examples like LitSuggest, Research Screener, Scite, and Elicit, supported by tabular comparisons of LLM-based tools.</t>
  </si>
  <si>
    <t>**Main Findings:** Traditional AI-based tools for literature reviews, such as LitSuggest and Research Screener, are limited in scope and accuracy. Emerging LLM-based tools offer greater capabilities in summarization, citation analysis, and question answering but suffer from hallucinations and reliability issues. Knowledge augmentation techniques, like KALA and KAPING, significantly enhance LLM performance by integrating external knowledge sources. Agentic frameworks further improve adaptability, autonomy, and task accuracy, allowing AI systems to actively manage retrieval, reasoning, and decision-making. However, scalability, interpretability, and ethical challenges persist across these methods.</t>
  </si>
  <si>
    <t>**Conclusions:** AI-assisted literature review tools enhance productivity and efficiency, but current systems remain limited. LLMs represent a promising advancement but require improvements to address hallucinations and reliability. Combining knowledge augmentation with agentic frameworks is a promising pathway toward more reliable and effective AI-powered literature reviews.</t>
  </si>
  <si>
    <t>**Limitations:** The review notes that many tools lack up-to-date results, cannot generate diagrams, and do not suggest new ideas based on reviews. Additionally, scalability, reliance on curated external knowledge, and unresolved ethical and interpretability challenges remain open issues.</t>
  </si>
  <si>
    <t xml:space="preserve">Correto porem
 nao falou sobre alucinacoes </t>
  </si>
  <si>
    <t>**Objectives:** The paper aims to survey current and emerging AI-based methods for automating literature reviews, highlighting both their potential and limitations. It specifically focuses on traditional machine learning approaches, the rise of large language models (LLMs), and enhancements such as knowledge augmentation and agentic frameworks.</t>
  </si>
  <si>
    <t>**Research Questions:** What are the current AI-assisted tools and methods used in literature reviews; What emerging techniques, especially LLMs and knowledge-augmented frameworks, are being applied; What are the benefits and limitations of these methods; How might these approaches shape the future of academic research practices</t>
  </si>
  <si>
    <t>**Methodology:** The study systematically reviews existing AI-assisted literature review tools and techniques by analyzing published research and practical systems. It categorizes current methods, such as LitSuggest, Research Screener, and Dextr, and compares them with emerging LLM-based systems like Scite and Elicit. It further examines advanced approaches including knowledge augmentation and agentic frameworks, drawing on empirical evidence from multiple case studies and benchmarking efforts.</t>
  </si>
  <si>
    <t>**Main Findings:** Traditional AI tools for literature review are limited in scope, often restricted to abstracts or specific datasets. LLM-based systems have shown significant improvements in contextual understanding, summarization, and citation analysis, but still face challenges such as hallucinations and limited coverage. Knowledge augmentation strategies (e.g., KALA, KAPING, Adaptive-RAG) improve reliability by integrating domain-specific knowledge. Agentic frameworks enhance adaptability and decision-making in automated review processes. Comparative analysis shows that while LLM-based tools surpass traditional methods, they still lack important capabilities such as real-time updates, diagram generation, and idea suggestion.</t>
  </si>
  <si>
    <t>Traz info
a mais 
sobre benchmark</t>
  </si>
  <si>
    <t>**Conclusions:** AI-assisted literature review tools significantly improve research efficiency and scalability. Although most current tools rely on traditional methods, emerging LLM-based systems offer stronger capabilities but suffer from hallucinations and reliability concerns. Combining knowledge augmentation with agentic frameworks is a promising path for creating more robust and accurate AI systems for literature reviews.</t>
  </si>
  <si>
    <t>**Limitations:** The paper notes that LLM-based tools are constrained by issues such as outdated results, lack of diagram generation, limited scope of included data sources, and absence of features like automated idea suggestion. Additionally, reliance on external knowledge bases introduces scalability and quality concerns.</t>
  </si>
  <si>
    <t>**Objectives:** The paper aims to explore and evaluate current and emerging AI methods for automating literature reviews. It focuses on both traditional and LLM-based tools, their benefits, challenges, and future directions. The goal is to provide insights into how AI can reshape academic research practices.</t>
  </si>
  <si>
    <t>**Research Questions:** What are the current AI-assisted tools used for literature reviews and their limitations?; How are emerging methods, particularly LLMs, addressing existing challenges?; What role can knowledge augmentation and agentic frameworks play in improving AI-assisted literature reviews?</t>
  </si>
  <si>
    <t>**Study Type:** Systematic literature review and comparative analysis</t>
  </si>
  <si>
    <t>trouxe 
compartivo 
q nao 
tem relacao</t>
  </si>
  <si>
    <t>**Methodology:** The authors conducted a literature review of existing AI-assisted systems for literature reviews, examining both traditional machine learning-based tools and emerging LLM-driven systems. They categorized methods into current tools, knowledge-augmented approaches, and agentic frameworks. The paper compares these approaches through feature analysis, highlighting strengths and weaknesses of each system.</t>
  </si>
  <si>
    <t>está coerente, 
mas a parte 
de “comparative 
feature analysis” 
é um acréscimo 
não citado no gabarito.</t>
  </si>
  <si>
    <t>**Main Findings:** Current AI-assisted tools improve efficiency but remain limited in scope, often restricted to abstracts and narrow datasets. Emerging LLM-based methods outperform traditional tools in contextual understanding and summarization but suffer from hallucinations and reliability issues. Knowledge augmentation techniques, such as integrating knowledge graphs, improve accuracy and reasoning capabilities. Agentic frameworks enhance adaptability and autonomy, allowing AI systems to manage complex tasks more effectively. However, scalability, accuracy, and ethical issues remain open challenges.</t>
  </si>
  <si>
    <t>a resposta acerta 
nos conceitos, 
mas não lista as
 ferramentas específicas 
e traz detalhes extras</t>
  </si>
  <si>
    <t>**Conclusions:** AI-assisted literature reviews significantly improve productivity and efficiency. While most tools still rely on traditional methods, LLM-based systems are gaining momentum despite hallucination issues. Combining knowledge augmentation with agentic frameworks offers promising solutions for more reliable and effective systems.</t>
  </si>
  <si>
    <t>**Limitations:** The review highlights that LLM-based tools are constrained by lack of up-to-date results, inability to generate diagrams, and limited suggestion of new research ideas. Additionally, biases in training data, technical expertise requirements, and ethical considerations present ongoing challenges.</t>
  </si>
  <si>
    <t>a resposta traz 
muitas limitações 
reais do artigo, 
mas não estão 
listadas no gabarito</t>
  </si>
  <si>
    <t>**Objectives:** The paper aims to review and evaluate the role of AI in automating literature reviews, highlighting the benefits, limitations, and emerging methods. It seeks to provide insights into current tools and techniques while discussing future directions for integrating AI, particularly large language models (LLMs), into academic research workflows.</t>
  </si>
  <si>
    <t>está coerente,
 mas a resposta 
amplia bastante 
(inclui ferramentas 
específicas e frameworks)</t>
  </si>
  <si>
    <t>**Research Questions:** What AI methods are currently used in literature reviews; What are the strengths and limitations of traditional versus emerging AI approaches; How can LLMs, knowledge augmentation, and agentic frameworks improve reliability and effectiveness in literature reviews</t>
  </si>
  <si>
    <t>**Methodology:** The study systematically reviews both traditional AI-assisted literature review systems and emerging LLM-based approaches. It compares tools and frameworks by analyzing their design, applications, and limitations across stages of the literature review process. Examples include LitSuggest, Research Screener, Dextr, Scite, Elicit, and others, as well as frameworks for knowledge augmentation and agentic AI systems.</t>
  </si>
  <si>
    <t>está correto, 
mas a resposta 
adiciona “análise 
por estágios do 
processo de revisão” 
que não está 
explícito no gabarito</t>
  </si>
  <si>
    <t>**Main Findings:** Current AI-assisted literature review tools offer efficiency but often remain limited in scope, relying on abstracts or specific domains. Emerging LLM-based tools demonstrate state-of-the-art performance in tasks such as summarization, citation classification, and question answering, but face reliability issues due to hallucinations. Knowledge augmentation and agentic frameworks show promise in mitigating these challenges, providing more accurate, context-aware, and adaptable systems. However, existing tools lack features such as diagram generation, idea suggestion, and fully up-to-date outputs.</t>
  </si>
  <si>
    <t>a resposta traz 
achados corretos,
 mas não lista 
explicitamente os 
frameworks como no 
gabarito.</t>
  </si>
  <si>
    <t>**Conclusions:** AI-assisted literature review tools significantly increase efficiency and scalability, but reliability issues remain with LLM-based methods. Combining LLMs with knowledge augmentation and agentic frameworks appears to be a promising direction to enhance trustworthiness and performance. Continued refinement and integration are necessary to fully realize AI's potential in academic research.</t>
  </si>
  <si>
    <t>**Limitations:** The surveyed tools and frameworks face limitations such as domain restrictions, reliance on specific datasets, lack of scalability, hallucinations in LLMs, and absence of advanced features like idea suggestion and diagram generation.</t>
  </si>
  <si>
    <t>resposta expande 
além do esperado 
pelo gabarito</t>
  </si>
  <si>
    <t>**Objectives:** The paper aims to evaluate the current state of AI in automating literature reviews, examining both established and emerging methods. It seeks to highlight the benefits, limitations, and future potential of AI-driven tools for improving the efficiency and reliability of the literature review process.</t>
  </si>
  <si>
    <t>a resposta 
está coerente, 
mas amplia bastante 
(mais detalhamento 
e formulação explícita 
de RQs).</t>
  </si>
  <si>
    <t>**Research Questions:** What are the current methods used in AI-assisted literature reviews and their limitations?; How are emerging methods, particularly large language models (LLMs), addressing these limitations?; What role do knowledge augmentation and agentic frameworks play in enhancing the reliability and effectiveness of AI-driven literature review tools?; What are the open issues and future directions for AI in literature review automation?</t>
  </si>
  <si>
    <t>**Study Type:** Survey-based literature review</t>
  </si>
  <si>
    <t>adicionar 
“survey-based” 
não aparece no 
gabarito e dá a 
entender um formato 
mais estruturado do 
que o artigo declara.</t>
  </si>
  <si>
    <t>**Methodology:** The study systematically reviews existing AI-assisted literature review tools, comparing traditional machine learning approaches with emerging methods leveraging LLMs. It evaluates selected tools and frameworks, such as LitSuggest, Research Screener, Dextr, Scite, and Elicit, as well as advanced techniques like knowledge augmentation and agentic frameworks. A comparative analysis is also conducted across existing LLM-based tools, highlighting their capabilities, limitations, and areas for improvement.</t>
  </si>
  <si>
    <t>coerente, mas a 
resposta adiciona 
“sistematicamente” 
e “comparative analysis” 
que não constam no 
gabarito oficial.</t>
  </si>
  <si>
    <t>**Main Findings:** Traditional AI-based tools, while useful, are limited in scope, often constrained to abstracts, specific databases, or narrow applications. Emerging methods based on LLMs demonstrate superior performance in context understanding, summarization, and adaptability, but face challenges such as hallucinations and reliance on incomplete data sources. Knowledge augmentation techniques (e.g., KALA, KAPING, KAG) improve performance by integrating domain-specific and external knowledge, while agentic frameworks enhance autonomy, adaptability, and collaborative reasoning. Despite these advances, many tools lack features like diagram generation, idea suggestion, and comprehensive coverage of academic content.</t>
  </si>
  <si>
    <t>a resposta está 
bem alinhada, 
mas não enfatiza 
a listagem completa 
das ferramentas encontradas 
como no gabarito.</t>
  </si>
  <si>
    <t>**Conclusions:** AI-assisted literature reviews significantly enhance researcher productivity, but current tools remain constrained by issues of reliability, scope, and usability. LLMs offer state-of-the-art capabilities, yet hallucinations limit their accuracy. Combining knowledge augmentation with agentic frameworks is identified as a promising path to create more reliable and effective tools for literature review automation.</t>
  </si>
  <si>
    <t>**Limitations:** The reviewed tools are limited by database restrictions, reliance on abstracts instead of full texts, susceptibility to hallucinations in LLMs, and lack of comprehensive or scalable evaluation frameworks. Many proposed solutions also depend heavily on manually curated or domain-specific knowledge sources, raising scalability and generalization issues.</t>
  </si>
  <si>
    <t>expande além 
do que o 
gabarito cobre, 
trazendo pontos que estão no artigo, mas não no resumo oficial.</t>
  </si>
  <si>
    <t>Texto 2</t>
  </si>
  <si>
    <t>**Objectives:** The paper explores quality assurance (QA) practices in open source software (OSS) projects and proposes a framework to understand stakeholder expectations, QA activities, and performance indicators. It aims to analyze how QA is practiced in OSS environments and evaluate differences between a pure OSS project and a hybrid OSS project.</t>
  </si>
  <si>
    <t>**Research Questions:** What QA practices are typically performed in OSS projects?; How do OSS communities perform these QA activities?; How do QA practices and performance indicators differ between pure and hybrid OSS projects?</t>
  </si>
  <si>
    <t>Só há duas duas perguntas de pesquisa no texto, a IA criou uma que embora relacionada com o tema, não foi dita no texto</t>
  </si>
  <si>
    <t>**Study Type:** Empirical case study with framework development</t>
  </si>
  <si>
    <t>Descreve e estudo com maior precisão que contido no gabarito</t>
  </si>
  <si>
    <t>**Methodology:** The authors collected data through an intensive literature review and two expert interviews to identify common QA practices and stakeholder expectations in OSS projects:contentReference[oaicite:2]{index=2}. They then developed a QA framework structured around defect detection, verification, and solution verification. For empirical analysis, they gathered and analyzed defect data from five releases across two Apache projects (Tomcat and MyFaces), applying indicators such as detection frequency, collection effectiveness, closure time, and proportion of verified solutions.</t>
  </si>
  <si>
    <t xml:space="preserve">**Main Findings:** The Tomcat project, with a larger and more heterogeneous community, showed higher defect detection frequency but also more invalid defect reports compared to MyFaces. MyFaces, as a hybrid project, demonstrated greater defect collection effectiveness and stronger peer review culture, but often had longer defect closure times. In Tomcat, solutions were resolved quickly but less frequently peer-reviewed, while MyFaces emphasized verification and review, albeit at the cost of speed. The study highlights that QA outcomes vary significantly depending on community structure, sponsorship, and project policies.
</t>
  </si>
  <si>
    <t>**Conclusions:** OSS projects can achieve high software quality through community-driven QA practices, but the formality and effectiveness of these practices differ by project type. Pure projects emphasize speed and breadth of participation, while hybrid projects emphasize thoroughness and structured review. Performance indicators derived from stakeholder values can serve as a useful tool for monitoring QA in OSS projects.</t>
  </si>
  <si>
    <t>A resposta da IA apresenta conclusões que são interpretações e generalizações dos resultados, em vez de reportar as conclusões que os autores de fato escreveram no artigo. 
A seguinte afirmação é uma generalização que não se encontra na seção de conclusões do artigo:
"Pure projects emphasize speed and breadth of participation, while hybrid projects emphasize thoroughness and structured review."
O estudo apresentou dados que sugerem isso:
O Tomcat ("puro") foi mais rápido na resolução de defeitos e teve uma comunidade maior.
O MyFaces ("híbrido") teve processos de revisão mais fortes e, por vezes, mais lentos.
No entanto, os autores não sintetizaram esses resultados nessa generalização específica em suas conclusões formais</t>
  </si>
  <si>
    <t>**Limitations:** The study is limited to two Apache projects and a five-month observation period, which may not capture long-term QA dynamics or generalize across all OSS projects.</t>
  </si>
  <si>
    <t xml:space="preserve">Correto </t>
  </si>
  <si>
    <t xml:space="preserve">**Objectives:** The paper aims to explore how quality assurance (QA) practices are performed in open source software (OSS) projects, particularly within the Apache community. It proposes a framework for QA activities, identifies stakeholder value expectations, and develops performance indicators. The study seeks to understand the effectiveness of QA mechanisms in different types of OSS projects.
</t>
  </si>
  <si>
    <t>**Research Questions:** What are the QA practices in a typical OSS project?; How does the project community perform such activities?</t>
  </si>
  <si>
    <t>**Study Type:** Case study with literature review and expert interviews</t>
  </si>
  <si>
    <t>**Methodology:** The authors conducted a literature review and two expert interviews to identify common QA practices and stakeholder values in OSS projects. Based on this, they developed a QA framework and derived performance indicators such as defect detection frequency, closure time, and collection effectiveness. They then applied these indicators to five releases of two Apache projects (Tomcat and MyFaces), analyzing over 500 reported defects using SVN logs and bug tracker data.</t>
  </si>
  <si>
    <t>**Main Findings:** Tomcat, with a larger and more heterogeneous community, had higher defect detection frequency than MyFaces. MyFaces showed more effective defect collection, with fewer invalid reports, reflecting its hybrid nature and better documentation. Defect closure times were generally responsive across projects, though MyFaces Tobago had slower times due to stricter peer reviews. Verified solution proportions were higher in MyFaces projects, where most fixed defects were peer reviewed, while Tomcat showed fewer verified closures. Overall, QA practices varied significantly depending on community size, sponsorship type, and release policies.</t>
  </si>
  <si>
    <t>**Conclusions:** The study concludes that QA practices in OSS projects are shaped by community structure and project type. Hybrid projects like MyFaces exhibit stronger peer review and verification, while pure volunteer projects like Tomcat show higher defect reporting but less formal solution verification. The authors highlight the need for performance indicators tailored to OSS contexts and suggest further empirical evaluation across more projects.</t>
  </si>
  <si>
    <t>**Limitations:** The case study was limited to two Apache projects and a five-month observation period, which may not fully capture long-term QA trends. Differences in project maturity and release policies also limit generalizability.</t>
  </si>
  <si>
    <t>Inventa uma limitação que não é reconhecida pelos autores.
O artigo discute a maturidade e as políticas de lançamento como fatores que influenciam as práticas de QA, mas em nenhum momento os autores declaram que essas diferenças são uma</t>
  </si>
  <si>
    <t>**Objectives:** The paper aims to explore quality assurance (QA) practices in open source software (OSS) projects and propose a framework of QA activities based on stakeholder values. It also seeks to derive performance indicators and empirically evaluate them through two Apache case studies (Tomcat and MyFaces).</t>
  </si>
  <si>
    <t>**Methodology:** The authors combined intensive literature research with two expert interviews to identify common QA practices and stakeholder expectations. They developed a framework of QA aspects in OSS projects centered on defect lifecycle processes (detection, verification, solution verification). They then derived performance indicators adapted from commercial software QA and applied them to five releases of two large Apache projects (Tomcat and MyFaces), analyzing over 500 reported defects using SVN logs and bug tracker data.</t>
  </si>
  <si>
    <t>**Main Findings:** The study found that defect detection frequency was higher in the larger and more heterogeneous Tomcat community compared to MyFaces, although MyFaces exhibited more effective defect collection with fewer invalid reports. Defect closure times varied, with many defects resolved within a day, but hybrid projects like MyFaces sometimes showed slower closures due to stricter peer review. Tomcat demonstrated faster resolutions but less evidence of formal peer verification, while MyFaces emphasized more verified solutions. The results challenged several initial hypotheses, highlighting how project type and community structure significantly influence QA performance.</t>
  </si>
  <si>
    <t>**Conclusions:** QA practices in OSS projects depend heavily on project type, sponsorship, community size, and release policies. Hybrid projects demonstrated stronger peer review and solution verification, while pure volunteer projects resolved defects faster but with less verification. The study underscores the importance of tailoring QA frameworks and indicators to community values and project context.</t>
  </si>
  <si>
    <t xml:space="preserve">**Limitations:** The study was limited to two Apache projects and a five-month observation period, which constrained the generalizability of findings. Some QA activities, especially long-term peer reviews in Tomcat, may not have been fully captured.
</t>
  </si>
  <si>
    <t>**Objectives:** The paper aims to explore how quality assurance (QA) practices are performed in open source software (OSS) projects and to propose a framework of QA aspects. It also seeks to derive performance indicators for QA processes and evaluate them in real-world OSS projects. The study provides a preliminary understanding of stakeholder value expectations and QA mechanisms in OSS communities.</t>
  </si>
  <si>
    <t>**Study Type:** Empirical case study</t>
  </si>
  <si>
    <t>**Methodology:** The authors conducted a literature review and two expert interviews to identify QA practices and stakeholder expectations in OSS projects. Based on this, they developed a QA framework focusing on the defect lifecycle (detection, verification, solution verification). They then derived performance indicators (e.g., defect detection frequency, collection effectiveness, closure time, proportion of verified solutions) and applied them to empirical data from five releases of two Apache projects (Tomcat and MyFaces). Data was collected from bug trackers and repositories, and descriptive statistics were used for analysis.</t>
  </si>
  <si>
    <t xml:space="preserve">**Main Findings:** Tomcat, with a larger and more heterogeneous community, showed higher defect detection frequency than MyFaces. MyFaces demonstrated more effective defect collection with fewer invalid reports. Defect closure times varied, with Tomcat often resolving critical defects faster, though MyFaces exhibited more thorough peer reviews that increased closure time. Verified solution proportions were higher in MyFaces, reflecting stronger peer review practices, while Tomcat had more solutions marked only as resolved. Overall, QA practices differed depending on project type, community size, and sponsorship.
</t>
  </si>
  <si>
    <t>correto</t>
  </si>
  <si>
    <t>**Conclusions:** OSS QA activities depend on community characteristics such as size, sponsorship, and release policies. Hybrid projects like MyFaces tend to emphasize structured QA and peer review, while pure volunteer projects like Tomcat emphasize responsiveness but may invest less in solution verification. The proposed framework and performance indicators can help project managers and stakeholders monitor and improve QA practices in OSS projects.</t>
  </si>
  <si>
    <t>**Limitations:** The study only analyzed two Apache projects and a limited five-month observation window; findings may not generalize across all OSS projects. The empirical evaluation was preliminary, and more extensive validation with diverse OSS projects is needed.</t>
  </si>
  <si>
    <t>**Objectives:** The study aims to explore how quality assurance (QA) practices are performed in open source software (OSS) projects and to identify stakeholder value expectations. It also seeks to propose QA performance indicators and empirically evaluate them in two Apache projects. The objective is to provide insights into improving QA in distributed, community-driven development environments.</t>
  </si>
  <si>
    <t>A última frase da resposta da IA, "...to provide insights into improving QA in distributed, community-driven development environments", não está explicitamente no gabarito, mas está fundamentada no texto.</t>
  </si>
  <si>
    <t>**Study Type:** Case study with empirical evaluation</t>
  </si>
  <si>
    <t>**Methodology:** The authors conducted an extensive literature review and two expert interviews to identify common QA practices and stakeholder expectations in OSS projects. They then developed a QA framework and performance indicators focused on the defect lifecycle (detection, verification, and solution verification). These indicators were empirically applied to five releases of two Apache projects, Tomcat and MyFaces, by analyzing more than 500 reported defects from bug trackers and SVN logs.</t>
  </si>
  <si>
    <t xml:space="preserve">**Main Findings:** The study found that defect detection frequency is higher in larger, more heterogeneous communities like Tomcat, while hybrid projects like MyFaces exhibit more effective defect collection with fewer invalid reports. Defect closure times varied, with Tomcat showing quicker but less consistent resolutions compared to MyFaces. Verified solutions were more common in MyFaces, reflecting stronger peer review practices, while Tomcat often resolved defects faster but with fewer peer-verified closures. Overall, QA practices varied significantly depending on project type, sponsorship, and community size.
</t>
  </si>
  <si>
    <t>**Conclusions:** QA in OSS projects is shaped by community structure, project type, and sponsorship, leading to different strengths and weaknesses across projects. Hybrid projects tend to emphasize verification and peer review, while pure volunteer projects focus on responsiveness. The study highlights the importance of performance indicators for monitoring QA and suggests that diverse OSS projects adopt QA practices aligned with their community dynamics.</t>
  </si>
  <si>
    <t>Correto, embora a IA não tenha pego diretamente da conclusão do texto</t>
  </si>
  <si>
    <t>**Limitations:** The study was limited to two Apache projects and a five-month observation period, which may not capture long-term QA practices. The focus on defect lifecycle indicators may also overlook other QA aspects. Broader empirical evaluation across more OSS projects is needed.</t>
  </si>
  <si>
    <t>A maior parte da resposta está correta e baseada no artigo, mas a IA deduziu uma limitação que os autores nunca mencionaram
 "O foco nos indicadores do ciclo de vida dos defeitos também pode ignorar outros aspectos da Garantia de Qualidade"</t>
  </si>
  <si>
    <t>**Objectives:** The study aims to explore quality assurance (QA) practices within open source software (OSS) projects and provide a framework for understanding how QA is performed. It also seeks to derive performance indicators for evaluating QA processes in OSS and empirically apply them to two large Apache projects (Tomcat and MyFaces).</t>
  </si>
  <si>
    <t>**Methodology:** The authors conducted a literature review and two expert interviews to identify common QA practices and stakeholder expectations. They then developed a QA framework focusing on defect lifecycle processes (detection, verification, and solution verification). Finally, they applied derived performance indicators to five releases of two Apache projects (Tomcat and MyFaces), analyzing over 500 reported defects using descriptive statistics.</t>
  </si>
  <si>
    <t>**Main Findings:** Tomcat, as a large and heterogeneous volunteer project, showed higher defect detection activity but also more invalid reports compared to MyFaces. MyFaces, as a hybrid project, demonstrated more effective defect collection and higher proportions of verified solutions due to stronger documentation and structured practices. Defect closure times varied, with Tomcat often resolving defects faster but with less evidence of thorough peer review. In contrast, MyFaces exhibited slower closure times but greater emphasis on verification and peer review. These results indicate that project type (pure vs. hybrid) significantly influences QA practices and effectiveness.</t>
  </si>
  <si>
    <t>**Conclusions:** QA practices in OSS projects vary according to project type, community structure, and sponsorship. While Tomcat emphasizes responsiveness and rapid defect resolution, MyFaces stresses structured verification and peer review. A framework and set of performance indicators can help stakeholders monitor and improve QA processes across OSS projects.</t>
  </si>
  <si>
    <t>Embora misture as conclusões formais com os achados da análise, toda a informação é factual e baseada no texto</t>
  </si>
  <si>
    <t>**Limitations:** The study focused only on two Apache projects over a five-month period, which limits generalizability. The evaluation period was too short to fully capture long-term QA practices, and peer review evidence was incomplete for Tomcat.</t>
  </si>
  <si>
    <t>Texto 3</t>
  </si>
  <si>
    <t>**Objectives:** The paper aims to investigate the relationship between software complexity and reliability by analyzing how different complexity metrics influence fault-proneness and reliability models. It seeks to clarify whether complexity is a consistent predictor of software reliability and to explore the challenges of measuring complexity in practice.</t>
  </si>
  <si>
    <t xml:space="preserve">
**Research Questions:** How do different software complexity metrics correlate with software reliability?; To what extent can complexity measures predict fault-proneness and reliability outcomes?; What are the limitations of existing complexity-reliability models in real-world applications?</t>
  </si>
  <si>
    <t>**Study Type:** Empirical analysis and conceptual exploration</t>
  </si>
  <si>
    <t>**Methodology:** The authors review the theoretical foundations of complexity and reliability, summarizing prior models that link complexity measures with fault-proneness. They then analyze empirical studies using complexity metrics such as cyclomatic complexity, lines of code, and Halstead metrics to examine correlations with software failures. The discussion synthesizes both supportive and contradictory evidence from case studies and experimental data, highlighting methodological challenges in measurement and interpretation.</t>
  </si>
  <si>
    <t>**Main Findings:** Complexity is generally correlated with higher fault-proneness, but the strength and consistency of this relationship vary significantly across studies. Metrics such as cyclomatic complexity and code size are frequently predictive, though not universally reliable, while some measures like Halstead's show inconsistent results. The analysis shows that complexity can inform reliability models, but its predictive power is limited by contextual factors such as development practices, testing rigor, and system domain. Overall, complexity is a useful but imperfect indicator of software reliability.</t>
  </si>
  <si>
    <t>Complexity is generally correlated with higher fault-proneness</t>
  </si>
  <si>
    <t xml:space="preserve">**Conclusions:** Software complexity plays an important role in understanding reliability, but it cannot be treated as a universal or standalone predictor. A multi-metric, context-sensitive approach is needed for more accurate reliability assessments. Future work should integrate complexity with other factors such as process quality and testing strategies.
</t>
  </si>
  <si>
    <t>**Limitations:** Not explicitly stated</t>
  </si>
  <si>
    <t>**Objectives:** The paper aims to redefine software reliability beyond traditional timing and failure rate factors, by incorporating software complexity and test effectiveness. It seeks to explore how different complexity metrics influence reliability assessment and to propose a more comprehensive reliability model.</t>
  </si>
  <si>
    <t xml:space="preserve">**Research Questions:** How do existing software complexity metrics (LOC, Halstead, McCabe, and Information Flow) capture different aspects of complexity; How can these metrics be combined into a more accurate expression of software complexity; How does software complexity influence software reliability when integrated with test effectiveness and failure rate
</t>
  </si>
  <si>
    <t>**Study Type:** Conceptual and empirical analysis with comparative evaluation of metrics</t>
  </si>
  <si>
    <t xml:space="preserve">**Methodology:** The authors review four established complexity metrics—Lines of Code, Halstead, McCabe's cyclomatic complexity, and Information Flow—and compute values for five example programs. The results are normalized and compared to demonstrate inconsistencies and incompleteness in single-metric approaches. They then propose a composite weighted formula integrating all three major metrics and link this to a revised software reliability function that incorporates complexity, test effectiveness, and failure rate.
</t>
  </si>
  <si>
    <t>**Main Findings:** The study finds that relying on a single complexity metric provides an incomplete view of software reliability. Different metrics emphasize different aspects of complexity, such as code length, operator/operand counts, decision structures, and module interactions. By comparing results across metrics, the authors show that each highlights different sources of potential defects. They propose a composite complexity function that weights multiple metrics, leading to a more comprehensive representation. Finally, they extend the software reliability formula to incorporate this complexity alongside test effectiveness, yielding a model that better reflects real-world reliability.</t>
  </si>
  <si>
    <t>**Conclusions:** Software reliability cannot be accurately assessed using only time and failure rate. Incorporating software complexity and test effectiveness produces a more complete model. The proposed composite metric and revised reliability formula provide a stronger foundation for reliability evaluation, though further refinement is desirable.</t>
  </si>
  <si>
    <t>**Objectives:** The paper aims to redefine software reliability by considering not only timing and failure rate but also software complexity and test effectiveness. It focuses on proposing a more comprehensive method for measuring software complexity and integrating it into reliability assessment.</t>
  </si>
  <si>
    <t>**Research Questions:** How can software reliability be redefined to incorporate software complexity and test effectiveness; Which complexity metrics (LOC, Halstead, McCabe, Information Flow) are most effective in reflecting reliability; How can these factors be combined into a more accurate reliability model</t>
  </si>
  <si>
    <t xml:space="preserve">
**Study Type:** Conceptual/methodological study with empirical illustration using example programs
</t>
  </si>
  <si>
    <t>**Methodology:** The study reviews traditional reliability models and identifies their limitations. It then analyzes four major complexity metrics (Lines of Code, Halstead, McCabe, and Information Flow) and applies them to five example programs. Normalized comparisons and weighted combinations are used to show the incompleteness of individual metrics and to propose a combined measure of software complexity. Finally, the authors integrate test effectiveness into the reliability formula.</t>
  </si>
  <si>
    <t>**Main Findings:** Individual metrics such as LOC, Halstead, McCabe, and Information Flow each capture only partial aspects of software complexity. Comparisons across five programs showed that results differ significantly depending on which metric is used. The authors propose a weighted formula that integrates all three main complexity factors (McCabe, Halstead, and IF per line) to provide a more accurate complexity measure. They further redefine the reliability formula to include both complexity and test effectiveness, making it more comprehensive than traditional models.</t>
  </si>
  <si>
    <t xml:space="preserve">
**Conclusions:** Software reliability should be modeled not only with timing and failure rates but also with software complexity and test effectiveness. The proposed complexity measure and revised reliability formula provide a more realistic basis for assessing reliability in modern software systems.</t>
  </si>
  <si>
    <t>**Limitations:** The study is conceptual and based on illustrative examples; empirical validation on large-scale or industrial software systems is not provided. Further improvement and refinement of the proposed models are suggested for future work.</t>
  </si>
  <si>
    <t>O Artigo não detalha as limitações</t>
  </si>
  <si>
    <t>**Objectives:** The paper aims to redefine software reliability by considering software complexity and test effectiveness in addition to timing and failure rate. It seeks to propose a more comprehensive model of software reliability that better reflects real-world conditions. Specifically, it focuses on evaluating different software complexity measures and their relationship to reliability.</t>
  </si>
  <si>
    <t xml:space="preserve">**Research Questions:** How can software reliability be more accurately defined beyond timing and failure rate?; What role does software complexity play in determining reliability?; How can traditional complexity measures (LOC, Halstead, McCabe, IF) be combined to provide a more complete reliability model?; How should failure rate be expressed in relation to complexity and test effectiveness?
</t>
  </si>
  <si>
    <t>**Study Type:** Conceptual and analytical study with empirical illustration</t>
  </si>
  <si>
    <t>**Methodology:** The authors review existing software complexity metrics (LOC, Halstead, McCabe, and Information Flow) and discuss their limitations. They then calculate complexity for five sample programs using these metrics and normalize the results for comparison. Based on this analysis, they propose a new composite formula for measuring software complexity and integrate it into a redefined software reliability model. They also suggest a revised expression for failure rate that incorporates complexity and test effectiveness.</t>
  </si>
  <si>
    <t>**Main Findings:** The study finds that traditional software reliability models that only consider timing and failure rate are incomplete. Different complexity metrics capture different aspects of software complexity but none alone provide a complete picture. The analysis of five programs shows discrepancies across metrics, underscoring the need for a composite approach. The authors propose a weighted formula that combines McCabe, Halstead, and Information Flow metrics normalized by lines of code. They argue that reliability should be defined as a function of time, test effectiveness, and software complexity.</t>
  </si>
  <si>
    <t xml:space="preserve">**Conclusions:** The paper concludes that software reliability is strongly influenced by software complexity and test effectiveness. A more comprehensive method of measuring software complexity improves reliability assessment. The proposed reliability formula, which integrates complexity and testing effectiveness, is more realistic and useful for evaluating modern, increasingly complex software systems.
</t>
  </si>
  <si>
    <t xml:space="preserve">
**Limitations:** The paper does not provide large-scale empirical validation of the proposed model. The study uses only five sample programs for demonstration, which may limit generalizability. It also leaves the determination of metric weights to user judgment, which introduces subjectivity.
</t>
  </si>
  <si>
    <t>**Objectives:** The paper aims to redefine software reliability by incorporating software complexity and test effectiveness, moving beyond traditional models that only consider timing and failure rates. It proposes a more comprehensive method for measuring software complexity and explores its relationship with reliability.</t>
  </si>
  <si>
    <t xml:space="preserve">**Research Questions:** How can software reliability be redefined to include complexity and test effectiveness; What methods best capture the impact of software complexity on reliability; How can failure rate be expressed as a function of complexity and test effectiveness
</t>
  </si>
  <si>
    <t>**Study Type:** Conceptual and empirical analysis using multiple software programs to compare complexity metrics</t>
  </si>
  <si>
    <t>**Methodology:** The authors reviewed four classic software complexity measurement approaches: lines of code (LOC), Halstead metrics, McCabe cyclomatic complexity, and information flow. They applied these metrics to five programs and normalized the data for comparison. By analyzing inconsistencies across methods, they proposed a weighted composite formula integrating all factors (LOC, McCabe, Halstead, IF) and connected this to test effectiveness in reliability modeling.</t>
  </si>
  <si>
    <t>**Main Findings:** Existing complexity measures are incomplete when used in isolation, as each captures only part of software complexity. LOC is a baseline but insufficient alone; Halstead fails to consider structural complexity; McCabe captures decision points but omits length; and information flow captures inter-module complexity. A composite, weighted formula offers a more accurate representation of software complexity. The study further shows that failure rates should be modeled as a function of both test effectiveness and software complexity, not just time.</t>
  </si>
  <si>
    <t>**Conclusions:** The paper presents a more comprehensive method to measure software complexity and links it to reliability evaluation. It also proposes a refined failure rate formula that incorporates test effectiveness and application complexity. Future work is needed to refine and validate the model further.</t>
  </si>
  <si>
    <t>**Objectives:** The paper aims to redefine software reliability by incorporating software complexity and test effectiveness, alongside traditional measures like timing and failure rate. It seeks to propose a more comprehensive reliability model that accounts for multiple factors influencing reliability. The objective is to demonstrate the importance of complexity measurements in evaluating software reliability.</t>
  </si>
  <si>
    <t>**Research Questions:** How can software reliability be redefined to include software complexity and test effectiveness; Which complexity metrics (LOC, Halstead, McCabe, Information Flow) most accurately represent reliability factors; How does software complexity correlate with software failure rate</t>
  </si>
  <si>
    <t>Parcial, o gabarito não consta Which complexity metrics (LOC, Halstead, McCabe, Information Flow) most accurately represent reliability factors</t>
  </si>
  <si>
    <t>**Study Type:** Conceptual and empirical study using comparative analysis of complexity metrics applied to example programs.</t>
  </si>
  <si>
    <t>**Methodology:** The authors reviewed existing software reliability models and identified their limitations. They analyzed four traditional complexity measurement methods (LOC, Halstead, McCabe, Information Flow). Five example programs were evaluated using these metrics, and normalized data comparisons were made to highlight differences. Based on the analysis, the authors proposed a new weighted formula integrating multiple complexity measures with test effectiveness into reliability modeling</t>
  </si>
  <si>
    <t>**Main Findings:** Traditional reliability models are incomplete since they only consider timing and failure rate. Complexity metrics like LOC, Halstead, McCabe, and Information Flow each capture partial aspects of complexity but individually are insufficient. A weighted combination of these metrics better represents software complexity. The study shows that increased program length correlates with higher complexity across other metrics, and that defects are more likely with higher complexity. The proposed formula links failure rate, test effectiveness, and software complexity to provide a more accurate reliability measure.</t>
  </si>
  <si>
    <t xml:space="preserve">**Conclusions:** Software reliability should be measured as a function of complexity and test effectiveness, not just timing and failure rate. The authors present a more comprehensive reliability model that integrates multiple complexity factors. Their approach provides a stronger foundation for evaluating software reliability in modern, complex systems.
</t>
  </si>
  <si>
    <t>**Limitations:** The study relies on a small number of example programs, limiting generalizability. The proposed model requires further empirical validation and refinement. Not explicitly stated in detail.</t>
  </si>
  <si>
    <t>Texto 4</t>
  </si>
  <si>
    <t>**Objectives:** The study aims to extend the Use Case Point (UCP) based software effort estimation model for freelance open-source software development. It seeks to identify relevant effort drivers specific to this context and evaluate the viability of UCP as the main sizing and estimation factor.</t>
  </si>
  <si>
    <t>**Research Questions:** How can UCP be extended to accurately estimate effort in freelance open-source software projects; Which effort drivers are most relevant for freelance OSS development; How accurate are different analogy adaptation methods when applied with UCP in this context</t>
  </si>
  <si>
    <t>**Study Type:** Empirical research with model extension and validation</t>
  </si>
  <si>
    <t>O artigo é quantitativo (dados, MMRE, validação), mas a ia descreveu como “empírico com extensão de modelo”. Não está errado, mas faltou explicitar o caráter quantitativo.</t>
  </si>
  <si>
    <t>**Methodology:** The study began with a literature review to identify relevant effort drivers for freelance OSS projects. It collected data from 13 open-source projects developed by 9 freelance developers in various domains. Unadjusted Use Case Points (UUCP) were calculated from use case diagrams, alongside developer experience, programming language, and application domain as additional effort drivers. An analogy-based estimation model (ANGEL) was extended, tested with four adaptation methods (Closest Analogy, Mean, Median, and Inverse Rank Weighted Mean), and validated using n-fold cross-validation with MMRE as the accuracy measure.</t>
  </si>
  <si>
    <t>**Main Findings:** The research identified UUCP, developer experience, programming language, and application domain as the main effort drivers for freelance OSS projects. Among the four analogy adaptation methods tested, the Inverse Rank Weighted Mean (IRWM) achieved the lowest MMRE (0.23131), indicating higher accuracy compared to other methods. The results show that extending UCP with analogy-based estimation is viable for freelance OSS effort estimation, though accuracy strongly depends on similarity of historical data.</t>
  </si>
  <si>
    <t>Acertou os pontos centrais, mas não mencionou explicitamente que TCF e ECF foram considerados irrelevantes, o que está no gabarito.</t>
  </si>
  <si>
    <t>**Conclusions:** The study concludes that UCP is a viable primary effort driver for freelance OSS projects when combined with analogy-based estimation. IRWM was the most effective adaptation method, outperforming other techniques. Extending ANGEL with UCP improves accuracy in estimating freelance OSS effort.</t>
  </si>
  <si>
    <t>**Limitations:** The study used only 13 projects from 9 developers, limiting generalizability. It also excluded Technology and Environmental Complexity Factors and noted possible inefficiencies in use case diagrams affecting accuracy.</t>
  </si>
  <si>
    <t>O artigo não diz que a limitação foi o tamanho da amostra ou a exclusão de TCF/ECF. Essas são escolhas metodológicas, não limitações. O gabarito traz limitações específicas do ANGEL, que a IA ignorou.</t>
  </si>
  <si>
    <t>**Objectives:** The paper aims to extend the Use Case Point (UCP)-based software effort estimation model for open-source freelance software development projects. It seeks to identify specific effort drivers relevant to freelance OSS development and test the viability of using UCP as the main effort driver in combination with analogy-based estimation methods.</t>
  </si>
  <si>
    <t>**Research Questions:** How can Use Case Points be adapted for effort estimation in open-source freelance software development; What effort drivers are most relevant to OSS freelance projects; How accurate is an extended analogy-based SEE model using UCP compared to traditional approaches</t>
  </si>
  <si>
    <t>**Study Type:** Empirical study with model extension and validation</t>
  </si>
  <si>
    <t>**Methodology:** The study followed four phases: (1) literature review to identify relevant effort drivers in freelance OSS development; (2) data collection from 13 OSS projects developed by nine freelance software developers; (3) extension of the ANGEL analogy-based software effort estimation model to incorporate UCP and relevant freelance-specific effort drivers such as programming language, application domain, and developer experience; (4) validation of the extended model using n-fold cross-validation and performance measures like MMRE. Several analogy adaptation techniques (closest analogy, mean, median, and inverse rank weighted mean) were tested to identify the best-performing method.</t>
  </si>
  <si>
    <t>**Main Findings:** The study identified Unadjusted Use Case Points (UUCP), developer experience, programming language, and application domain as the most influential effort drivers in freelance OSS projects. Among the tested analogy adaptation methods, the Inverse Rank Weighted Mean (IRWM) achieved the best accuracy, yielding the lowest MMRE value of 0.23131. Results showed that extending UCP-based estimation with analogy-based methods provides improved prediction accuracy for freelance OSS projects. The study confirmed that UCP can serve as a viable software sizing measure in this context.</t>
  </si>
  <si>
    <t>**Conclusions:** The research concludes that no dedicated SEE models previously existed for OSS freelance development, and the proposed UCP-extended analogy-based model addresses this gap. The IRWM analogy adaptation method proved most effective, confirming UCP's viability as an effort driver. Accurate estimation remains highly dependent on the similarity of historical data, underscoring the need for carefully curated project datasets.</t>
  </si>
  <si>
    <t>**Limitations:** The model's accuracy relies heavily on the quality and similarity of historical data; inefficiencies in use case diagrams can distort UCP calculations; the dataset was limited to 13 projects from a small sample of developers in Sri Lanka, which may affect generalizability.</t>
  </si>
  <si>
    <t>Adiciona que developers are from sri lanka</t>
  </si>
  <si>
    <t>**Objectives:** The paper aims to extend the Use Case Point (UCP)-based software effort estimation model for open-source freelance software development projects. It seeks to address the lack of specific effort estimation models tailored to freelance developers who rely on open-source tools under budget constraints. The study explores the viability of UCP as the main effort driver combined with analogy-based estimation methods.</t>
  </si>
  <si>
    <t>**Research Questions:** How can UCP be effectively adapted for estimating effort in open-source freelance software development?; Which analogy-based adaptation method provides the most accurate predictions for freelance OSS projects?</t>
  </si>
  <si>
    <t>**Methodology:** The authors conducted a literature review to identify effort drivers specific to freelance OSS development, such as UUCP, developer experience, programming language, and application domain. They collected data from 13 OSS projects developed by 9 freelance developers across multiple domains. The ANGEL analogy-based SEE model was extended by applying UCP as the main sizing factor and tested using four adaptation methods (Closest Analogy, Mean, Median, IRWM). Validation was performed through n-fold cross-validation and error metrics like MMRE.</t>
  </si>
  <si>
    <t>**Main Findings:** The study found that traditional effort drivers like TCF and ECF are less relevant in freelance OSS contexts, making UUCP the most reliable sizing measure. Among the four analogy adaptation methods, the Inverse Rank Weighted Mean (IRWM) with three analogies provided the lowest MMRE (0.23131), outperforming Closest, Mean, and Median approaches. The results demonstrate that UCP combined with analogy-based estimation is feasible and improves prediction accuracy for freelance OSS projects. Freelance-specific drivers such as developer experience and application domain further influence accuracy.</t>
  </si>
  <si>
    <t>**Conclusions:** The proposed extension of the ANGEL model with UCP and IRWM adaptation improves effort estimation for freelance OSS projects. The study confirms that UCP is a viable primary effort driver in this context. It highlights that accurate estimation depends on project similarity and historical data availability. IRWM adaptation showed superior performance, suggesting it is the most suitable method for freelance OSS effort estimation.</t>
  </si>
  <si>
    <t xml:space="preserve">Correto, </t>
  </si>
  <si>
    <t>**Limitations:** The dataset was limited to 13 projects from 9 Sri Lankan freelance developers, which restricts generalizability. Inefficiencies in use case diagrams may have affected UCP calculations, and project diversity was constrained by available data.</t>
  </si>
  <si>
    <t>O artigo não 
coloca tamanho da amostra nem diversidade como limitações oficiais; ele foca em limitações do ANGEL tool e nos diagramas. A ia inventou limitações metodológicas.</t>
  </si>
  <si>
    <t>a</t>
  </si>
  <si>
    <t>**Objectives:** The study aims to extend the Use Case Point (UCP)-based software effort estimation model to address the unique characteristics of freelance open-source software (OSS) development. It seeks to identify relevant effort drivers and adapt analogy-based estimation methods to improve prediction accuracy for freelancers.</t>
  </si>
  <si>
    <t>**Research Questions:** Which effort drivers are most relevant to freelance OSS development; How can UCP be effectively applied as the primary sizing factor for freelance OSS projects; How can analogy-based estimation models be extended to better predict effort in OSS freelance projects; Which analogy adaptation method yields the most accurate predictions</t>
  </si>
  <si>
    <t>O artigo é quantitativo; “empírico” não está errado, mas não é a classificação mais precisa.</t>
  </si>
  <si>
    <t>**Methodology:** The authors conducted a literature review to identify effort drivers specific to freelance OSS projects, such as developer experience, programming language, and application domain. They collected data from 13 OSS projects developed by 9 freelance developers in Sri Lanka. Unadjusted Use Case Points (UUCP) were calculated for each project, excluding factors irrelevant to freelancing contexts. These metrics were applied to an extended ANGEL analogy-based effort estimation model, tested with four adaptation methods (Closest Analogy, Mean, Median, IRWM), and validated using n-fold cross-validation with MMRE as the performance measure.</t>
  </si>
  <si>
    <t>**Main Findings:** The study shows that UUCP, developer experience, programming language, and application domain are key effort drivers for freelance OSS development. Among the four analogy adaptation methods tested, the Inverse Rank Weighted Mean (IRWM) achieved the lowest MMRE value (0.23131), outperforming the Closest Analogy, Mean, and Median approaches. The results demonstrate that extending UCP with an adapted analogy-based model can provide more accurate effort estimation for freelance OSS projects than traditional models.</t>
  </si>
  <si>
    <t>Acertou os drivers e o resultado do IRWM, mas não mencionou explicitamente que TCF e ECF foram considerados irrelevantes.</t>
  </si>
  <si>
    <t>**Conclusions:** The research confirms that UCP can serve as a viable primary effort driver for OSS freelance projects when combined with analogy-based estimation. The extended ANGEL model with IRWM adaptation yields the best prediction accuracy, showing potential as a practical tool for freelancers who operate with limited resources. This extension provides a foundation for improved effort estimation tailored to OSS freelancing.</t>
  </si>
  <si>
    <t>**Limitations:** The dataset consisted of only 13 projects from 9 developers in Sri Lanka, which limits the generalizability of the results. Inefficiencies in use case diagrams may have affected UCP calculations, and the study did not address scalability across larger datasets or global freelancing contexts.</t>
  </si>
  <si>
    <t>O artigo não lista tamanho da amostra ou globalização como limitações; inventou restrições metodológicas diferentes das apontadas no gabarito.</t>
  </si>
  <si>
    <t>**Objectives:** The study aims to extend the Use Case Point (UCP)-based software effort estimation model to fit the context of open-source freelance software development. It seeks to address the absence of estimation models tailored for freelancers, considering their unique constraints and reliance on open-source tools.</t>
  </si>
  <si>
    <t>**Research Questions:** How can Use Case Points be adapted as the primary effort driver for estimating software effort in open-source freelance projects?; What additional effort drivers specific to freelance open-source development influence estimation accuracy?; Which analogy-based adaptation method yields the most accurate predictions?</t>
  </si>
  <si>
    <t>**Methodology:** The authors conducted a literature review to identify effort drivers relevant to freelance OSS development. They collected data from 13 projects developed by 9 freelance developers across multiple domains. Use Case Point counts were calculated from use case diagrams, omitting irrelevant factors like TCF and ECF. The ANGEL analogy-based estimation model was extended with four adaptation methods (closest analogy, mean, median, and inverse rank weighted mean) and validated using n-fold cross-validation with MMRE as the performance metric.</t>
  </si>
  <si>
    <t>**Main Findings:** The study identified UUCP, developer experience, programming language, and application domain as key effort drivers in freelance OSS projects. Among the analogy-based adaptation methods tested, the Inverse Rank Weighted Mean (IRWM) performed best, yielding the lowest MMRE value of 0.23131. The results showed that UCP can effectively serve as the main effort driver in this context and that extending the ANGEL model with IRWM provides improved accuracy.</t>
  </si>
  <si>
    <t>**Conclusions:** The research confirms the viability of using Use Case Points for effort estimation in freelance OSS projects and demonstrates that the extended ANGEL model with IRWM yields the most accurate results. This approach offers freelancers a more reliable method for predicting project effort and managing budgets.</t>
  </si>
  <si>
    <t>Embora correta em essência, a resposta não destacou explicitamente a dependência da similaridade com projetos anteriores, que é uma conclusão importante no artigo.</t>
  </si>
  <si>
    <t>**Limitations:** The dataset was limited to 13 projects from 9 Sri Lankan freelance developers; potential inaccuracies in use case diagrams may have influenced results; the ANGEL model has inherent limitations such as handling multiple-exact matches or out-of-range values.</t>
  </si>
  <si>
    <t>Acertou os pontos sobre ANGEL e diagramas, mas voltou a tratar o tamanho da amostra como limitação — isso não aparece como limitação oficial no artigo.</t>
  </si>
  <si>
    <t>**Objectives:** The paper aims to extend the Use Case Point (UCP)-based software effort estimation model to the context of open-source freelance software development. It seeks to identify effort drivers unique to freelancers and evaluate the viability of UCP as the main effort driver for such projects.</t>
  </si>
  <si>
    <t>**Research Questions:** How can Use Case Points be applied to accurately estimate the effort of open-source freelance software development projects?; What effort drivers specific to freelance development affect estimation accuracy?; Which analogy-based adaptation method provides the most reliable predictions in this context?</t>
  </si>
  <si>
    <t>**Study Type:** Empirical research study with model extension and validation</t>
  </si>
  <si>
    <t>**Methodology:** The study reviewed literature to identify relevant effort drivers for freelance open-source projects, including developer experience, programming language, application domain, and Unadjusted Use Case Points (UUCP). Data from 13 projects developed by nine Sri Lankan freelance developers across various domains was collected. The ANGEL analogy-based estimation model was extended to this context. Four adaptation methods—Closest Analogy, Mean, Median, and Inverse Rank Weighted Mean (IRWM)—were tested using cross-validation and MMRE as accuracy measures.</t>
  </si>
  <si>
    <t>**Main Findings:** The study found that UUCP, developer experience, programming language, and application domain are significant effort drivers for freelance OSS projects. Testing of adaptation methods showed that the IRWM method achieved the lowest MMRE (0.23131), outperforming Closest Analogy, Mean, and Median approaches. This demonstrated the viability of extending UCP with analogy-based methods for estimating freelance OSS development effort. The results confirm that similarity in historical project data strongly influences estimation accuracy.</t>
  </si>
  <si>
    <t>A IA cobriu quase tudo, mas não mencionou explicitamente a irrelevância de TCF/ECF, o que faz parte dos achados do artigo.</t>
  </si>
  <si>
    <t>**Conclusions:** The research concludes that no prior SEE models adequately addressed freelance OSS development effort estimation, and the proposed UCP-based extension of the ANGEL model fills this gap. IRWM is identified as the best-performing adaptation method, and UCP is shown to be a viable main effort driver for freelance OSS contexts.</t>
  </si>
  <si>
    <t>**Limitations:** The study is limited by the small dataset of 13 projects, all collected from Sri Lankan freelancers; some inefficiencies in use case diagrams may have affected accuracy; and results may not generalize to other contexts or larger datasets.</t>
  </si>
  <si>
    <t>O artigo não cita tamanho da amostra nem generalização como limitações; A IA ignorou as limitações reais do modelo ANGEL e inventou outras.</t>
  </si>
  <si>
    <t>**Objectives:** The paper aims to extend the Use Case Point (UCP) based software effort estimation model for open-source freelance software development. It seeks to identify the relevant effort drivers in freelance open-source projects and assess the viability of UCP as the main driver for accurate effort estimation.</t>
  </si>
  <si>
    <t>**Research Questions:** Can Use Case Points be effectively used as the main effort driver for estimating software development effort in open-source freelance projects?; Which effort drivers are most relevant to freelance open-source software development?; How can analogy-based models like ANGEL be extended to improve estimation accuracy for freelance OSS projects?</t>
  </si>
  <si>
    <t>**Methodology:** The study followed four phases: a literature review to identify effort drivers, collection of data from 13 open-source freelance projects developed by 9 freelancers, calculation of Use Case Points (UUCP) for each project, and extension of the ANGEL analogy-based effort estimation model. Different analogy adaptation methods (closest analogy, mean, median, and inverse rank weighted mean) were tested, and the model was validated using n-fold cross-validation and performance measures like MMRE.</t>
  </si>
  <si>
    <t>**Main Findings:** The study identified UUCP, developer experience, programming language, and application domain as the main effort drivers in freelance OSS development. Among the tested analogy adaptation methods, the Inverse Rank Weighted Mean (IRWM) achieved the lowest MMRE (0.23131), outperforming closest analogy, mean, and median methods. The results confirmed that extending the ANGEL model with UCP as the sizing factor improves accuracy in effort estimation for freelance OSS projects.</t>
  </si>
  <si>
    <t>Faltou mencionar que TCF e ECF foram considerados irrelevantes, o que faz parte dos achados.</t>
  </si>
  <si>
    <t>**Conclusions:** The research demonstrated that UCP is a viable main effort driver for OSS freelance effort estimation. Extending the ANGEL analogy-based model with appropriate analogy adaptation methods, particularly IRWM, enhances accuracy. The approach supports freelancers in producing more reliable effort predictions for project planning and delivery.</t>
  </si>
  <si>
    <t>Está correta, mas deixou de destacar explicitamente a dependência da similaridade dos dados históricos, que o artigo enfatiza.</t>
  </si>
  <si>
    <t>**Limitations:** The dataset was limited to 13 projects from 9 freelancers in Sri Lanka, which restricts generalizability. Inefficiencies in use case diagrams may have introduced variation in UCP calculations. The ANGEL model also has inherent limitations, such as handling out-of-range values and multiple exact matches.</t>
  </si>
  <si>
    <t>Acertou os pontos sobre ANGEL e diagramas, mas o tamanho da amostra não foi listado como limitação oficial no artigo.</t>
  </si>
  <si>
    <t>Texto 5</t>
  </si>
  <si>
    <t xml:space="preserve">**Objectives:** The paper aims to explore the defining characteristics of successful open source projects and examine whether and how open source practices should be introduced into the classroom. It also seeks to highlight the educational and professional value of engaging students in open source development.
</t>
  </si>
  <si>
    <t>**Research Questions:** What factors make open source projects successful; How can open source participation be effectively introduced into formal education; What challenges and opportunities arise when integrating open source into the classroom</t>
  </si>
  <si>
    <t>Não há explicitamente perguntas de pesquisa nesse texto</t>
  </si>
  <si>
    <t>**Study Type:** Conceptual and exploratory tutorial paper</t>
  </si>
  <si>
    <t>**Methodology:** The author reviews literature and influential works on open source economics, governance, and architecture, citing Bessen, Baldwin &amp; Clark, and Fogel. The paper synthesizes these perspectives with practical industry observations to identify success factors in open source projects. It then frames a set of open-ended questions and considerations for integrating open source practices into higher education, drawing on case examples and workshop-style discussion prompts.</t>
  </si>
  <si>
    <t>**Main Findings:** Open source success is driven by economic incentives, complexity advantages, and architectural principles like modularity and option value. Governance structures, technical and social infrastructures, and volunteer management practices are also critical. Educational integration of open source is still rare, but where it exists, it provides valuable real-world experience and industry-relevant skills. Institutions must grapple with issues such as grading in collaborative environments, continuity of projects, and intellectual property management.</t>
  </si>
  <si>
    <t>Sintetiza conclusões de todo o documento, ficando mais completa que o gabarito</t>
  </si>
  <si>
    <t>**Conclusions:** Open source education offers great potential benefits but is not straightforward to implement. Despite challenges such as project continuity, grading fairness, and IP concerns, universities stand to unlock significant value by engaging students in real-world open source development. The open source model is poised to remain transformative, and academia should play a leading role in this evolution.</t>
  </si>
  <si>
    <t>Mais completo que o gabarito</t>
  </si>
  <si>
    <t>**Objectives:** The paper aims to explore the defining characteristics of successful open source projects and to examine whether and how open source methodologies should be introduced into the classroom. It seeks to provide insights into the economic, architectural, and governance principles that drive success in open source, and their implications for education.</t>
  </si>
  <si>
    <t>**Research Questions:** Why is open source software successful?; What architectural and governance principles distinguish successful open source projects from unsuccessful ones?; How can open source methodologies and projects be effectively introduced into educational settings?</t>
  </si>
  <si>
    <t>**Study Type:** Conceptual workshop/tutorial paper</t>
  </si>
  <si>
    <t>**Methodology:** The author draws upon existing academic research, industry practices, and influential works such as Bessen's economic analysis and Baldwin &amp; Clark's study on modularity and option value. The discussion is structured around theoretical frameworks, examples from industry adoption, and governance practices as outlined in Fogel's 'Producing Open Source Software'. It also raises pedagogical questions about integrating open source into higher education curricula.</t>
  </si>
  <si>
    <t>**Main Findings:** Open source projects succeed when they embody modularity and option value, which lower barriers to participation and encourage innovation. Governance models evolve organically and rely on both technical and social infrastructure, volunteer management, and intellectual property practices. Industry adoption of open source (e.g., Google, Red Hat, IBM) demonstrates its economic and strategic value, while educational institutions lag behind in preparing students. Introducing students to open source offers benefits such as practical experience and alignment with industry needs, but challenges include grading, project continuity, and managing intellectual property.</t>
  </si>
  <si>
    <t>**Conclusions:** While integrating open source into the classroom poses challenges, the benefits for students and institutions are substantial. Open source provides a valuable framework for solving real-world problems, fostering collaboration, and aligning education with industry trends. Educational institutions should embrace these opportunities to help lead the ongoing open source revolution.</t>
  </si>
  <si>
    <t>**Limitations:** Not explicitly stated. The paper primarily raises questions for discussion rather than presenting empirical limitations, though it acknowledges challenges in grading, continuity, and IP management in classroom contexts.</t>
  </si>
  <si>
    <t>**Objectives:** The paper aims to explore the characteristics and practices that make open source projects successful, and to discuss the role of educational institutions in introducing students to open source participation. It seeks to highlight both the opportunities and challenges of integrating open source into classroom</t>
  </si>
  <si>
    <t>**Research Questions:** Why are open source projects successful?; How do successful open source projects operate?; How should open source methods and participation be introduced into classrooms?; What are the challenges and benefits of doing so?</t>
  </si>
  <si>
    <t>**Study Type:** Conceptual analysis and tutorial discussion with references to case examples and literature</t>
  </si>
  <si>
    <t>**Methodology:** The author draws on existing research, including economic and architectural theories of open source success, and practical guides such as Karl Fogel's 'Producing Open Source Software'. He synthesizes findings from the literature with industry experiences (e.g., Red Hat, Google Summer of Code) and raises open-ended questions for discussion about educational integration. The work is presented as a workshop/tutorial rather than a formal empirical study, relying on illustrative examples and critical reflection.</t>
  </si>
  <si>
    <t>**Main Findings:** Successful open source projects typically exhibit modular architectures and option value, which lower participation barriers and encourage innovation. Economic theories suggest that complexity favors open source adoption, especially by firms with their own development capacity. Governance models evolve organically, borrowing best practices across projects. In education, open source offers students valuable real-world experience, but challenges remain around grading, project management, intellectual property, and continuity. Universities are beginning to integrate open source, but participation is still limited compared to potential demand.</t>
  </si>
  <si>
    <t>**Conclusions:** Open source development has become central to the software industry, and its success relies on modularity, openness, and community-driven governance. While integrating open source into classrooms is challenging, the potential benefits for students and institutions are significant. Educational institutions should take a more active role in preparing students to participate in and contribute to open source projects.</t>
  </si>
  <si>
    <t>**Limitations:** Not explicitly stated; however, the work is conceptual and tutorial-based rather than empirical, relying on secondary sources, personal experience, and illustrative examples rather than systematic data collection or case studies.</t>
  </si>
  <si>
    <t>**Objectives:** The paper aims to explore the characteristics that make open source projects successful and to discuss whether and how open source methodologies should be integrated into educational curricula. It also seeks to highlight the benefits of introducing students to open source development early in their careers.</t>
  </si>
  <si>
    <t>**Research Questions:** What makes open source projects successful; How do governance models, modularity, and option value contribute to open source success; Should open source practices be introduced into the classroom, and if so, how; What challenges arise when integrating open source into education</t>
  </si>
  <si>
    <t>**Study Type:** Conceptual and exploratory workshop/tutorial paper</t>
  </si>
  <si>
    <t>**Methodology:** The author draws upon existing research and practical industry experience to analyze the success factors of open source projects. Two influential academic works are discussed—Bessen's economic argument for open source in complex environments and Baldwin &amp; Clark's theory on modularity and option value. The methodology also includes a review of governance practices outlined by Karl Fogel, followed by an exploration of open questions about educational integration.</t>
  </si>
  <si>
    <t>**Main Findings:** Open source success is strongly tied to modularity and option value, which lower entry barriers and allow for innovation without disrupting projects. Economic incentives, rather than altruism alone, play a significant role in motivating participation. Governance models and best practices for managing open source projects have evolved organically, with strong lessons for new participants. Introducing open source into classrooms provides valuable real-world experience for students but also raises complex issues such as grading fairness, project continuity, and intellectual property concerns.</t>
  </si>
  <si>
    <t>**Conclusions:** Open source projects provide unique learning opportunities that can benefit both students and institutions, despite the challenges of integrating them into curricula. The open source model is positioned to solve significant problems and should be embraced by educational institutions as part of the software engineering revolution.</t>
  </si>
  <si>
    <t>**Limitations:** Not explicitly stated. The paper primarily offers a conceptual and discussion-based perspective without empirical data or systematic validation.</t>
  </si>
  <si>
    <t>**Objectives:** The paper aims to examine the defining characteristics that make open source projects successful and to explore the role of introducing open source methodologies into educational settings. It also seeks to address whether and how students should be integrated into real-world open source development.</t>
  </si>
  <si>
    <t>**Research Questions:** Why are open source projects successful; How are successful open source projects governed and managed; Should open source projects be integrated into classroom environments, and if so, how</t>
  </si>
  <si>
    <t>**Study Type:** Workshop/tutorial discussion paper</t>
  </si>
  <si>
    <t>**Methodology:** The author bases the discussion on academic literature, case studies, and practical experience from the open source industry. Key theoretical works, such as Bessen's economic analysis of open source and Baldwin and Clark's study on modularity and participation, are reviewed. Practical governance insights are drawn from Karl Fogel's 'Producing Open Source Software' to frame best practices in project management.</t>
  </si>
  <si>
    <t>**Main Findings:** Open source success is often tied to economic principles, especially in contexts of complexity where collaboration adds value. Modularity and option value in project design significantly determine whether a project thrives by lowering entry barriers and encouraging innovation. Governance and community management practices are essential to sustaining participation. Universities have only just begun exploring integration of students into open source, but many challenges remain, such as grading collaborative work, continuity, and intellectual property concerns.</t>
  </si>
  <si>
    <t>**Conclusions:** Integrating open source into education is difficult but highly valuable. Students gain practical, real-world experience, and institutions contribute to solving broader societal challenges. Despite challenges of management, IP, and continuity, open source in academia holds great promise for advancing both education and industry.</t>
  </si>
  <si>
    <t>**Objectives:** The paper aims to explore the defining characteristics of successful open source projects and discuss whether and how these projects should be introduced into educational settings. It highlights the importance of open source experience for students and the software industry.</t>
  </si>
  <si>
    <t>**Research Questions:** Why are open source projects successful; How do open source projects operate effectively; How can open source methods be integrated into the classroom; What challenges arise when introducing students to open source projects</t>
  </si>
  <si>
    <t>**Study Type:** Conceptual/tutorial discussion presented at a software engineering education conference</t>
  </si>
  <si>
    <t>**Methodology:** The author draws from industry experience, existing literature, and notable works (such as Bessen's economic analysis and Clark &amp; Baldwin's study on modularity) to frame key factors influencing the success of open source projects. The discussion also references Karl Fogel's 'Producing Open Source Software' to outline governance and management practices. The approach is primarily exploratory and discursive, rather than empirical.</t>
  </si>
  <si>
    <t>**Main Findings:** Successful open source projects often rely on modular design and option value, which lower entry barriers and encourage innovation. Open source success is also tied to economic incentives and firm participation in complex software needs. Governance models evolve organically, with best practices borrowed and adapted across projects. Despite their value, educational institutions have been slow to integrate open source experiences into curricula. Students benefit significantly from participating in real-world projects, but challenges exist in grading, continuity, and intellectual property management.</t>
  </si>
  <si>
    <t>**Conclusions:** Integrating open source projects into classrooms is complex but highly beneficial. Students gain practical experience, institutions balance intellectual property concerns, and society benefits from solving pressing software problems. Educational institutions should play a central role in advancing the open source movement.</t>
  </si>
  <si>
    <t>**Objectives:** The paper aims to explore the defining characteristics of successful open source projects and to discuss the value and feasibility of introducing open source projects and methods into educational settings. It also seeks to highlight the potential benefits for students and institutions in bridging the gap between academic learning and real-world software development.</t>
  </si>
  <si>
    <t>**Research Questions:** Why are open source projects successful; What characteristics determine success or failure in open source projects; How should educational institutions introduce students to open source development; What challenges and considerations arise when integrating open source into classrooms</t>
  </si>
  <si>
    <t>**Study Type:** Conceptual and workshop/tutorial discussion</t>
  </si>
  <si>
    <t>**Methodology:** The author synthesizes existing literature, particularly research papers by Bessen, Clark, and Baldwin, and Karl Fogel's book, to provide theoretical frameworks for understanding open source success factors. The paper uses illustrative examples from industry practices (e.g., Google Summer of Code, Red Hat hiring) to contextualize theory. It then frames key questions for classroom integration of open source, inviting dialogue rather than prescribing definitive solutions.</t>
  </si>
  <si>
    <t>**Main Findings:** Successful open source projects are not merely altruistic but driven by sound economic and organizational principles. Complexity, modularity, and option value are critical factors that allow open source projects to thrive. Modularity lowers entry barriers for contributors, while option value fosters innovation. Governance and community practices, as outlined by Fogel, are essential to long-term project success. Educational institutions have much to gain from integrating open source, but adoption remains limited, with most students learning participation independently.</t>
  </si>
  <si>
    <t>**Conclusions:** Integrating open source projects into classrooms is challenging but highly rewarding. Students benefit by gaining practical, real-world experience, and institutions can contribute to solving pressing software problems while supporting public good. Despite challenges such as grading, continuity, and intellectual property concerns, there is strong potential for educational institutions to lead in expanding the open source ecosystem.</t>
  </si>
  <si>
    <t>Texto 6</t>
  </si>
  <si>
    <t>**Objectives:** This paper aims to systematically review existing research on quality assurance for test cases generated by large language models (LLMs) in black-box testing. It seeks to identify critical quality attributes, examine frameworks and metrics used to evaluate LLM-generated test cases, and highlight challenges and limitations in their evaluation.</t>
  </si>
  <si>
    <t>**Research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t>
  </si>
  <si>
    <t>**Study Type:** Systematic Literature Review</t>
  </si>
  <si>
    <t>**Methodology:** The study followed PRISMA guidelines for systematic reviews. A search was conducted across IEEE Xplore, ACM Digital Library, Google Scholar, and SpringerLink using keywords related to LLMs, black-box testing, QA, and evaluation metrics. From 19,466 initial papers, duplicates and irrelevant studies were excluded, ultimately narrowing to 78 studies published between 2017 and 2024. Data extraction was structured around the four research questions, and findings were synthesized thematically.</t>
  </si>
  <si>
    <t>Correto, resposta contém mais detalhes que o gabarito como as databases usadas e numero de artigos inciais</t>
  </si>
  <si>
    <t xml:space="preserve">
**Main Findings:** Six key quality attributes were identified: accuracy, coverage, completeness, effectiveness, efficiency, and traceability. QA frameworks fall into three categories: traditional, AI-enhanced (e.g., TESTPILOT, XUAT-Copilot), and hybrid approaches that combine automation with human oversight. Metrics commonly used include statement coverage, fault detection rate, execution time, and noise ratio, though standardization is lacking. Key challenges include unpredictability of LLM outputs, scalability issues in large systems, high computational costs, limited traceability, and absence of standardized metrics. Human-AI collaboration was emphasized as essential for improving reliability and coverage.</t>
  </si>
  <si>
    <t>**Conclusions:** LLM-generated test cases show strong potential in automating black-box testing with high efficiency and coverage. However, ensuring quality requires robust QA frameworks, standardized metrics, and collaborative human oversight. The field is still evolving, and future work should focus on interpretability, scalability, and metric standardization.</t>
  </si>
  <si>
    <t>**Limitations:** The review is limited by reliance on English-language and peer-reviewed publications, exclusion of non-black-box testing studies, and variability in methodologies across included works. It also acknowledges potential selection bias and the absence of universally accepted evaluation metrics.</t>
  </si>
  <si>
    <t>Correto, adiciona exclusion of non-black-box testing studies.</t>
  </si>
  <si>
    <t>**Objectives:** The study aims to systematically review the current state of quality assurance for Large Language Model (LLM)-generated test cases in black-box testing. It seeks to identify key quality attributes, frameworks, evaluation metrics, and challenges, providing a consolidated overview of this emerging research area.</t>
  </si>
  <si>
    <t xml:space="preserve">**Research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t>
  </si>
  <si>
    <t xml:space="preserve">
**Study Type:** Systematic Literature Review (SLR)
</t>
  </si>
  <si>
    <t>**Methodology:** The review followed PRISMA guidelines to ensure rigor and transparency. A comprehensive search was conducted across IEEE Xplore, ACM Digital Library, Google Scholar, and SpringerLink, using Boolean operators with targeted keywords. From an initial pool of 19,466 papers, the selection process narrowed down to 78 peer-reviewed studies published between 2017 and 2024, which were thematically synthesized to address the four research questions.</t>
  </si>
  <si>
    <t xml:space="preserve">**Main Findings:** Six critical quality attributes were identified: accuracy, coverage, completeness, effectiveness, efficiency, and traceability. QA frameworks were classified into traditional, AI-enhanced (e.g., TESTPILOT, XUAT-Copilot), and hybrid approaches, each with distinct strengths and limitations. Key metrics included statement coverage, fault detection rate, execution time, and noise ratio, though a lack of standardized metrics was evident. LLMs showed promise in improving efficiency, coverage, and fault detection, but challenges such as unpredictability, scalability, and traceability persisted.
</t>
  </si>
  <si>
    <t xml:space="preserve">**Conclusions:** LLM-generated test cases can improve software testing efficiency and effectiveness, but their unpredictability and lack of standardized evaluation metrics pose challenges. Hybrid frameworks combining AI automation with human oversight appear most effective. Future research should prioritize metric standardization, interpretability, and human-AI collaboration to strengthen quality assurance.
</t>
  </si>
  <si>
    <t>**Limitations:** Challenges include unpredictability of LLM outputs, scalability issues in large-scale testing, lack of standardized metrics, and limited traceability of generated test cases to requirements.</t>
  </si>
  <si>
    <t xml:space="preserve">Parcial, acerta em mencionar lack of standardized metrics mas não menciona o bias para artigos em ingles </t>
  </si>
  <si>
    <t>**Objectives:** The study investigates how quality assurance (QA) can be applied to test cases generated by large language models (LLMs) in black-box testing. It aims to identify critical quality attributes, review existing QA frameworks, summarize evaluation metrics, and highlight challenges in evaluating LLM-generated test cases.</t>
  </si>
  <si>
    <t>**Research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t>
  </si>
  <si>
    <t xml:space="preserve">**Study Type:** Systematic Literature Review (SLR)
</t>
  </si>
  <si>
    <t>**Methodology:** The authors conducted a systematic literature review following PRISMA guidelines to ensure rigor in selecting and analyzing relevant studies. Searches were performed in IEEE Xplore, ACM Digital Library, Google Scholar, and SpringerLink using combinations of keywords related to LLMs, black-box testing, test case generation, and QA. From an initial dataset of 19,466 papers, screening and eligibility criteria led to 78 studies being included. Data was extracted into structured forms and synthesized thematically across the four research questions.</t>
  </si>
  <si>
    <t xml:space="preserve">**Main Findings:** Six critical quality attributes were identified: accuracy, coverage, completeness, effectiveness, efficiency, and traceability. QA frameworks fall into three categories: traditional methods (e.g., boundary value analysis), AI-enhanced frameworks (e.g., TESTPILOT, XUAT-Copilot), and hybrid approaches combining automation with human oversight. Key metrics include statement coverage, fault detection rate, execution time, and noise ratio. LLMs demonstrated strong efficiency and coverage but struggled with traceability, unpredictability, and scalability. Hybrid frameworks and human-AI collaboration improved reliability and fault detection.
</t>
  </si>
  <si>
    <t xml:space="preserve">**Conclusions:** LLM-generated test cases hold significant promise in improving efficiency and coverage in software testing, but challenges like lack of standardized metrics, unpredictability of outputs, and scalability remain. Human oversight and hybrid QA frameworks are crucial to achieving reliable results. Future research should prioritize standardization of metrics and enhancing interpretability and traceability of LLM outputs.
</t>
  </si>
  <si>
    <t>**Limitations:** The review was limited to English-language, peer-reviewed studies published between 2017 and 2024. Challenges include possible selection bias, lack of standardized evaluation metrics, and the exclusion of non-English and non-peer-reviewed literature.</t>
  </si>
  <si>
    <t>**Objectives:** The study aims to systematically review the state of research on quality assurance (QA) for test cases generated by large language models (LLMs) in black-box testing. It identifies critical quality attributes, explores QA frameworks, examines evaluation metrics, and highlights challenges associated with LLM-generated test cases. The goal is to provide insights and recommendations for improving reliability and standardization in this emerging field.</t>
  </si>
  <si>
    <t>Correto, adiciona  The goal is to provide insights and recommendations for improving reliability and standardization in this emerging field.</t>
  </si>
  <si>
    <t>**Methodology:** The review followed PRISMA guidelines to ensure rigor in selecting and analyzing relevant literature. Searches were conducted across IEEE Xplore, ACM Digital Library, Google Scholar, and SpringerLink using keywords related to LLMs, black-box testing, QA, and evaluation metrics. From an initial pool of 19,466 papers, screening and inclusion/exclusion criteria narrowed the selection to 78 studies. Data were extracted into structured forms and synthesized thematically according to the research questions.</t>
  </si>
  <si>
    <t xml:space="preserve">**Main Findings:** Six key quality attributes were identified for LLM-generated test cases: accuracy, coverage, completeness, effectiveness, efficiency, and traceability. QA frameworks were grouped into traditional, AI-enhanced, and hybrid approaches, with AI-enhanced methods such as TESTPILOT and XUAT-Copilot showing strong adaptability but high computational costs. Common metrics include statement coverage, fault detection rate, execution time, and noise ratio, though lack of standardization hinders comparability. Challenges include unpredictability of LLM outputs, scalability issues, difficulty in traceability, and the absence of standardized metrics. Human-AI collaboration was found to enhance fault detection and reliability.
</t>
  </si>
  <si>
    <t>**Conclusions:** LLM-generated test cases demonstrate potential for improving efficiency and coverage in black-box testing, but their unpredictability and lack of standardized evaluation limit practical adoption. Hybrid frameworks that combine AI-driven automation with human oversight offer a balanced solution. Future progress requires standardized metrics, improved scalability, and enhanced interpretability to ensure reliable QA in LLM-based testing.</t>
  </si>
  <si>
    <t>**Limitations:** The review highlights limited consensus on evaluation metrics, lack of standardization across studies, and challenges in scalability. It is also constrained by inclusion of only English-language, peer-reviewed studies, which may introduce selection bias.</t>
  </si>
  <si>
    <t>Correto, adiciona challenges in scalability.</t>
  </si>
  <si>
    <t>**Objectives:** The paper aims to systematically review existing literature on quality assurance for Large Language Model (LLM)-generated test cases in black-box testing. It seeks to identify critical quality attributes, evaluate QA frameworks, examine metrics, and highlight challenges in assessing these AI-generated test cases.</t>
  </si>
  <si>
    <t>**Study Type:** Systematic Literature Review (SLR)</t>
  </si>
  <si>
    <t>**Methodology:** The review followed PRISMA guidelines to ensure rigor and reproducibility. Literature searches were conducted across IEEE Xplore, ACM Digital Library, Google Scholar, and SpringerLink using keywords related to LLMs, black-box testing, QA, and evaluation metrics. Out of 19,466 initial papers, a multi-stage screening and eligibility process reduced this to 78 peer-reviewed studies. Data was extracted into structured forms and synthesized thematically according to the research questions.</t>
  </si>
  <si>
    <t xml:space="preserve">**Main Findings:** Six key quality attributes were identified: accuracy, coverage, completeness, effectiveness, efficiency, and traceability. QA frameworks fell into three categories: traditional frameworks, AI-enhanced frameworks (e.g., TESTPILOT, XUAT-Copilot), and hybrid approaches. Metrics commonly used included statement coverage, fault detection rate, execution time, and noise ratio. LLMs showed high efficiency and improved coverage but also faced challenges such as unpredictability, scalability issues, lack of standardized metrics, and difficulty in traceability. Human-AI collaboration was emphasized as crucial for improving reliability and outcomes.
</t>
  </si>
  <si>
    <t xml:space="preserve">
**Conclusions:** LLM-generated test cases offer significant potential in efficiency and coverage but require strong QA mechanisms to ensure reliability. Hybrid frameworks and human oversight enhance effectiveness, while the absence of standardized metrics remains a barrier to consistent evaluation. Future work should prioritize standardizing metrics, improving interpretability, and addressing scalability challenges.</t>
  </si>
  <si>
    <t>**Limitations:** The review excluded non-English publications, which may introduce selection bias. Scalability and unpredictability of LLM outputs remain unresolved. The lack of standardized metrics prevents consistent comparisons across studies.</t>
  </si>
  <si>
    <t xml:space="preserve">**Objectives:** The study aims to investigate how Quality Assurance (QA) can be applied to test cases generated by Large Language Models (LLMs) in black-box testing. It seeks to identify critical quality attributes, review existing QA frameworks, examine metrics for evaluation, and highlight challenges in assessing LLM-generated test cases.
</t>
  </si>
  <si>
    <t>**Methodology:** The review followed PRISMA guidelines to ensure rigor in selecting and analyzing studies. A comprehensive search was conducted across IEEE Xplore, ACM Digital Library, Google Scholar, and SpringerLink using keywords related to LLMs, black-box testing, and QA. From an initial dataset of 19,466 papers, systematic inclusion and exclusion criteria were applied, resulting in 78 studies being included. Data extraction and synthesis were organized around the four research questions, using thematic analysis.</t>
  </si>
  <si>
    <t>**Main Findings:** Six key quality attributes were identified: accuracy, coverage, completeness, effectiveness, efficiency, and traceability. QA frameworks fell into three categories: traditional frameworks, AI-enhanced frameworks such as TESTPILOT and XUAT-Copilot, and hybrid approaches that combine human oversight with automation. Evaluation metrics included statement coverage, fault detection rate, execution time, and noise ratio, though no standardized set exists. While LLMs demonstrated efficiency and coverage improvements, challenges persisted in scalability, traceability, unpredictability, and interpretability.</t>
  </si>
  <si>
    <t xml:space="preserve">
**Conclusions:** LLM-generated test cases can enhance testing efficiency and effectiveness but face significant challenges, especially in scalability, interpretability, and traceability. Human-AI collaboration is necessary to ensure reliability, and future work must prioritize standardized metrics and improved frameworks. The study emphasizes the need for ongoing research to optimize QA practices for LLM-based testing.</t>
  </si>
  <si>
    <t xml:space="preserve">
**Limitations:** The review was limited to studies published in English between 2017 and 2024, creating a potential selection bias. It also noted the absence of standardized evaluation metrics and challenges in interpretability, scalability, and linking test cases to requirements.</t>
  </si>
  <si>
    <t xml:space="preserve">**Objectives:** The study aims to systematically review the current state of research on quality assurance (QA) for Large Language Model (LLM)-generated test cases in black-box testing. It seeks to identify critical quality attributes, evaluate QA frameworks, explore metrics, and highlight limitations and challenges in this domain.
</t>
  </si>
  <si>
    <t>**Methodology:** The review followed PRISMA guidelines to ensure a rigorous selection and analysis process. Literature searches were conducted in IEEE Xplore, ACM Digital Library, Google Scholar, and SpringerLink using defined keywords and Boolean operators. From an initial set of 19,466 studies, a multi-stage screening process reduced the pool to 78 eligible peer-reviewed articles. Data were extracted into structured categories aligned with the four research questions and synthesized thematically.</t>
  </si>
  <si>
    <t>**Main Findings:** Six key quality attributes were identified: accuracy, coverage, completeness, effectiveness, efficiency, and traceability. QA frameworks were classified as traditional, AI-enhanced, and hybrid, each with strengths and limitations. Metrics used included statement coverage, fault detection rate, execution time, and noise ratio, though a lack of standardization was noted. LLMs demonstrated high efficiency and coverage, but unpredictability, scalability challenges, and traceability issues remain significant barriers.</t>
  </si>
  <si>
    <t>Parcial, não menciona o framework TESTPILOT</t>
  </si>
  <si>
    <t xml:space="preserve">
**Conclusions:** LLM-generated test cases show promise in improving efficiency, coverage, and automation in software testing, especially when combined with human oversight. However, challenges such as unpredictability, scalability, and lack of standardized evaluation metrics must be addressed. Future research should prioritize standardization, interpretability, and enhanced human-AI collaboration.
</t>
  </si>
  <si>
    <t xml:space="preserve">
**Limitations:** The review is limited by the exclusion of non-English studies and possible selection bias from database coverage. Challenges in scalability, unpredictability of LLM outputs, traceability, and the lack of standardized metrics were also noted as limitations of the field itself.</t>
  </si>
  <si>
    <t>Correto, adiciona challenges in scalability, unpredictability of LLM outputs, traceability</t>
  </si>
  <si>
    <t>Texto 7</t>
  </si>
  <si>
    <t>**Objectives:** The paper aims to present an innovative pedagogical approach to graduate-level software engineering education, emphasizing the development of software that is ethical, reliable, and beautiful. It seeks to realign software engineering education goals with modern industry demands while incorporating ethics, architectural principles, design practices, and real-world project work. The objective is to enhance student learning through a holistic, practical, and ethically grounded framework.</t>
  </si>
  <si>
    <t>A IA capta bem os objetivos centrais e até amplia com perguntas de pesquisa plausíveis, mas estas não estão no artigo nem no gabarito (foram inferidas).</t>
  </si>
  <si>
    <t>**Research Questions:** How can software engineering education be restructured to emphasize the creation of ethical, reliable, and beautiful software?; What pedagogical methods effectively integrate architecture, design, prototyping, and real-world projects to improve student learning and practice?; How can ethical considerations be incorporated as a fundamental design constraint in software engineering education?</t>
  </si>
  <si>
    <t>**Study Type:** Case study of a pedagogical approach implemented in a graduate-level course</t>
  </si>
  <si>
    <t>**Methodology:** The authors designed and delivered a graduate-level advanced software engineering course structured around six dimensions: redefining software goals, engineering software as a service, applying architectural principles, introducing best design practices, using rapid multi-modal prototyping, and implementing a semester-long real-world project. The approach blended foundational sources such as SWEBOK, service-oriented and microservice architectures, design principles like SOLID, and insights from prior research and industry practices. Student feedback, course evaluations, and project outcomes were analyzed to assess effectiveness.</t>
  </si>
  <si>
    <t>Embora inclua o essencial (feedback, avaliações e projetos), a IA descreve mais sobre o design do curso do que sobre a metodologia de coleta/análise, indo além do que consta no gabarito.</t>
  </si>
  <si>
    <t>**Main Findings:** The course successfully emphasized the importance of ethical, reliable, and beautiful software, which resonated with students across varying backgrounds. Students reported strong benefits from exposure to practical real-world projects, incremental problem-solving, and the integration of ethics into software design. Feedback highlighted improved appreciation of clean architectures, design principles, and iterative processes. Enrollment and evaluations demonstrated positive reception, with an average evaluation score above 4.4/5.0. The inclusion of sponsors for real-world projects enhanced effectiveness and impact.</t>
  </si>
  <si>
    <t>Correta</t>
  </si>
  <si>
    <t>**Conclusions:** The pedagogical approach realigned software engineering education with the attributes of ethics, reliability, and beauty, while maintaining relevance to industry needs. The course design proved effective in bridging theory and practice, and in preparing students for modern software engineering challenges. Future plans include expanding coverage to areas such as AI in design, software reuse, sustainability, and inclusivity.</t>
  </si>
  <si>
    <t>O artigo reconhece limitações específicas, mas a IA afirma que não foram explicitadas, o que contraria o gabarito.</t>
  </si>
  <si>
    <t>**Objectives:** The paper aims to present an innovative pedagogical approach for teaching advanced software engineering that emphasizes ethics, reliability, and beauty as core attributes of software. It seeks to realign software engineering education with modern industry needs by integrating proven architectural and design principles, multi-modal prototyping, and real-world projects. The course intends to prepare students to design software that is technically sound, ethically responsible, and aesthetically meaningful.</t>
  </si>
  <si>
    <t>A IA capta os objetivos centrais corretamente, mas cria perguntas de pesquisa que não estão no artigo, apenas inferidas.</t>
  </si>
  <si>
    <t>**Research Questions:** How can software engineering education be reframed to emphasize ethical, reliable, and beautiful software; What pedagogical strategies effectively blend theory, industry practices, and hands-on learning; How can real-world projects and prototyping enhance student understanding and application of modern software engineering principles</t>
  </si>
  <si>
    <t>**Study Type:** Case study / pedagogical intervention</t>
  </si>
  <si>
    <t>**Methodology:** The authors describe the design and implementation of a graduate-level advanced software engineering course. The course was structured around six dimensions: redefining goals of software as ethical, reliable, and beautiful; engineering software as a service; applying architectural and design principles; using rapid multi-modal prototyping; and completing a semester-long real-world project. Content was drawn from SWEBOK, modern microservices, emerging research, and open-source practices. The effectiveness was assessed through student feedback, course evaluations, and analysis of student projects and learning outcomes over multiple semesters.</t>
  </si>
  <si>
    <t>Aluno apresenta mais detalhes sobre estrutura curricular do que sobre coleta/análise dos dados; descreve corretamente feedback e avaliações, mas extrapola em relação ao gabarito.</t>
  </si>
  <si>
    <t>**Main Findings:** Students responded positively, highlighting the realignment of goals towards ethical, reliable, and beautiful software as transformative. The emphasis on clean architectures, design principles (SOLID, SOFA, 6S checklist), and prototyping provided practical benefits. Real-world projects, especially with sponsors, enhanced engagement and problem-solving skills. Students valued the integration of historical context, ethics as a design constraint, and hands-on iterative development. Feedback showed high satisfaction, with average course evaluations of 4.4/5.0 and overall learning evaluations of 4.6/5.0.</t>
  </si>
  <si>
    <t>**Conclusions:** The course successfully bridged theoretical knowledge with practical application, preparing students to address modern challenges in software engineering. Emphasizing ethics, reliability, and beauty reshaped student perspectives and outcomes. The authors plan to expand the course to include topics like reuse, product design, AI in software design, designing for diverse users, and sustainability.</t>
  </si>
  <si>
    <t>O artigo de fato reconhece limitações, mas a IA afirma que não foram mencionadas.</t>
  </si>
  <si>
    <t>**Objectives:** The paper presents an innovative pedagogical approach to teaching graduate-level software engineering, aiming to realign software engineering education around the principles of creating ethical, reliable, and beautiful software. It seeks to integrate proven architectural and design practices, prototyping, and real-world projects to better prepare students for evolving industry needs.</t>
  </si>
  <si>
    <t>Objetivos centrais foram bem captados, mas as perguntas de pesquisa são inferências da IA, não explicitadas no artigo.</t>
  </si>
  <si>
    <t>**Research Questions:** How can software engineering education be restructured to emphasize ethical, reliable, and beautiful software?; What pedagogical methods and course structures can best integrate architectural principles, design practices, prototyping, and real-world projects?</t>
  </si>
  <si>
    <t>**Study Type:** Pedagogical case study / course design and evaluation</t>
  </si>
  <si>
    <t>**Methodology:** The authors designed a graduate-level software engineering course structured around six pedagogical dimensions: emphasizing ethical, reliable, and beautiful software; teaching software as a service; applying architectural principles; applying design principles; incorporating rapid prototyping; and implementing a term-long real-world project. They blended content from textbooks, SWEBOK, and modern approaches with hands-on projects. Data collection included student feedback, evaluations, and course outcomes across several semesters.</t>
  </si>
  <si>
    <t>Está alinhada ao gabarito; embora mais descritiva sobre a estrutura do curso, não extrapola em excesso nem inventa procedimentos ausentes.</t>
  </si>
  <si>
    <t>**Main Findings:** Students responded positively, highlighting the value of focusing on ethical, reliable, and beautiful software, as well as exposure to clean and efficient architectures. The iterative, real-world projects and emphasis on prototyping improved practical problem-solving skills. Feedback showed that students benefited from the blending of foundational theory, modern microservice architectures, and open-source practices. The course was found effective across diverse student backgrounds, including traditional students, career changers, and industry professionals.</t>
  </si>
  <si>
    <t>Apesar de correto em vários pontos, omite dois achados importantes do artigo/gabarito: (1) o papel dos sponsors no aumento da eficácia e (2) a necessidade contínua de atualizar conteúdo.</t>
  </si>
  <si>
    <t>**Conclusions:** The pedagogical approach effectively bridged theory and practice while instilling ethical and design-focused perspectives in software engineering education. It contributed to student engagement, skill development, and alignment with industry needs. Future iterations will expand on reuse, product design, AI integration, diversity, and sustainability in software engineering education.</t>
  </si>
  <si>
    <t>**Limitations:** The evaluation is limited to three semesters with relatively small class sizes and relies heavily on student feedback rather than long-term outcome measures. Broader longitudinal studies are needed to assess sustained impact.</t>
  </si>
  <si>
    <t>As limitações mencionadas pela IA não aparecem no artigo; ele inventa limitações diferentes, o que configura alucinação.</t>
  </si>
  <si>
    <t>**Objectives:** The paper presents an innovative pedagogical approach for a graduate-level software engineering course aimed at reimagining software education around the principles of ethics, reliability, and beauty. It seeks to align course content with modern industry practices by integrating architectural principles, design practices, prototyping, and real-world projects.</t>
  </si>
  <si>
    <t>O núcleo do objetivo está correto, mas as perguntas de pesquisa são inferidas e não constam no artigo.</t>
  </si>
  <si>
    <t>**Research Questions:** How can software engineering education be redesigned to prioritize ethical, reliable, and beautiful software; What pedagogical methods most effectively blend theory, design principles, and industry practices; How can student engagement and learning outcomes be enhanced through practical, iterative projects</t>
  </si>
  <si>
    <t>**Study Type:** Pedagogical case study and experiential evaluation</t>
  </si>
  <si>
    <t>**Methodology:** The course design was structured around six dimensions: rethinking software goals as ethical, reliable, and beautiful; engineering software as a service; applying proven architectural and design principles; conducting rapid multi-modal prototyping; and completing a term-long iterative project. It blended content from IEEE SWEBOK, architectural principles, SOLID/SOFA design practices, and prototyping techniques. Students engaged in real-world problem-solving projects, with outcomes measured through feedback, evaluations, and project deliverables across multiple semesters.</t>
  </si>
  <si>
    <t>**Main Findings:** Students responded positively to the course, highlighting the value of aligning education with ethical, reliable, and beautiful software design. The iterative project approach improved practical problem-solving skills and industry readiness. The course helped bridge the gap between theory and practice by integrating ethics, aesthetics, and reliability into traditional engineering principles. Student feedback emphasized gains in understanding microservice architectures, prototyping, and ethical considerations. The average course evaluation was 4.4/5.0, with high satisfaction across diverse student backgrounds.</t>
  </si>
  <si>
    <t>A IA cobre pontos importantes, mas omite (1) o papel dos sponsors e (2) a necessidade de atualizar constantemente o conteúdo.</t>
  </si>
  <si>
    <t>**Conclusions:** The study concludes that reimagining software engineering education around ethics, reliability, and beauty creates a more holistic and impactful learning experience. The approach effectively blends theoretical, practical, and ethical dimensions while addressing industry needs. Future iterations will expand into areas such as reuse, AI-driven design, diverse user needs, and sustainability.</t>
  </si>
  <si>
    <t>O artigo aponta limitações, mas A IA afirma que não foram explicitadas.</t>
  </si>
  <si>
    <t>**Objectives:** The paper presents an innovative pedagogical approach for teaching graduate-level software engineering, aiming to realign education goals around developing software that is ethical, reliable, and beautiful. It seeks to integrate proven architectural and design principles with practical, iterative, real-world projects that enhance both technical competence and ethical awareness.</t>
  </si>
  <si>
    <t>núcleo está certo, mas as perguntas de pesquisa são inferidas, não explicitadas no artigo.</t>
  </si>
  <si>
    <t>**Research Questions:** How can software engineering education be redesigned to emphasize ethical, reliable, and beautiful software development?; What teaching methods and course structures most effectively integrate architectural principles, design practices, prototyping, and real-world projects into software engineering education?; How do students respond to such a holistic and practice-driven approach?</t>
  </si>
  <si>
    <t>**Study Type:** Case study of pedagogical innovation in a graduate-level software engineering course</t>
  </si>
  <si>
    <t>**Methodology:** The authors designed and delivered an advanced graduate course structured around six dimensions: redefining the goals of software engineering, treating software as a service, applying architectural principles, employing design principles, using multi-modal prototyping, and executing a term-long real-world project. The course drew from SWEBOK, industry practices, microservice architectures, and ethics-centered design. Students engaged in iterative project work, prototypes, and evaluations, while feedback and course assessments were collected to gauge outcomes.</t>
  </si>
  <si>
    <t>**Main Findings:** Students responded positively to the course, particularly appreciating the emphasis on ethical, reliable, and beautiful software as central educational goals. The integration of clean architectures, sound design practices, and hands-on prototyping provided students with practical problem-solving skills. Real-world projects fostered relevance and motivation, while iterative processes encouraged adaptability and collaboration. Student evaluations averaged 4.4/5.0 for the course and 4.6/5.0 for overall learning, reflecting strong satisfaction. Lessons learned highlight the importance of sponsor involvement in projects, continuously updating content, and tailoring teaching to diverse student backgrounds.</t>
  </si>
  <si>
    <t>**Conclusions:** The approach demonstrates that software engineering education can effectively combine ethical considerations, reliability, and aesthetics with technical rigor and hands-on learning. The authors conclude that this holistic method bridges theory with practice and positions students to better meet evolving industry and societal needs. They plan to enhance the course with greater focus on software reuse, AI design, diverse user needs, and sustainability.</t>
  </si>
  <si>
    <t>**Limitations:** Not explicitly stated; however, implied limitations include reliance on a single course case study, small class sizes, and the need for continual content adaptation, which may limit generalizability and scalability.</t>
  </si>
  <si>
    <t>O artigo explicitamente cita sponsors e atualização de conteúdo como limitações; A IA inventa outras (curso único, turmas pequenas), o que não está no texto.</t>
  </si>
  <si>
    <t>**Objectives:** The paper aims to present an innovative pedagogical approach for teaching advanced software engineering by emphasizing ethics, reliability, and beauty as core attributes of software. It also seeks to integrate proven architectural and design principles, software as a service concepts, and multi-modal prototyping into graduate education. The ultimate objective is to align software engineering education with industry needs and modern challenges while fostering ethical and sustainable practices.</t>
  </si>
  <si>
    <t>Os objetivos centrais estão corretos, mas as perguntas de pesquisa são inferências da IA, não explicitadas no artigo.</t>
  </si>
  <si>
    <t>**Research Questions:** How can software engineering education be redesigned to emphasize ethical, reliable, and beautiful software; What pedagogical methods best support this redesign; How can real-world projects and industry practices be effectively integrated into academic programs</t>
  </si>
  <si>
    <t>**Study Type:** Case study of a graduate-level course design and implementation</t>
  </si>
  <si>
    <t>**Methodology:** The authors describe the design and delivery of a graduate-level software engineering course structured around six dimensions: redefining goals of software engineering, software as a service, proven architectural principles, sound design principles, multi-modal prototyping, and a real-world project. The methodology integrates insights from existing literature, professional experience, and student projects. Evaluation was conducted using student feedback, course enrollment data, and project outcomes over multiple semesters.</t>
  </si>
  <si>
    <t>Inclui os pontos principais, mas inventa “dados de matrícula” como critério de avaliação, o que não está no artigo.</t>
  </si>
  <si>
    <t>**Main Findings:** Students responded positively to the course, highlighting the value of emphasizing ethics, reliability, and beauty in software design. The blending of SWEBOK, microservices, open-source practices, and modern research created a curriculum that felt relevant and practical. Real-world projects, particularly those with external sponsors, significantly increased engagement and effectiveness. Feedback showed improvements in students' ability to address real-world problems, apply architectural and design principles, and appreciate ethical considerations in software.</t>
  </si>
  <si>
    <t>Cobre quase tudo corretamente, mas omite a necessidade de atualização constante do conteúdo, que é parte central dos achados.</t>
  </si>
  <si>
    <t>**Conclusions:** The pedagogical approach effectively bridges theory and practice by aligning education with modern industry needs. Emphasizing ethical, reliable, and beautiful software provides a holistic framework for software engineering education. The course design is scalable and adaptable, with potential for further enhancement in areas such as AI integration, sustainability, and diverse user considerations.</t>
  </si>
  <si>
    <t>**Limitations:** The evaluation relies heavily on student feedback and course-level outcomes rather than long-term professional impact. The approach was tested in a limited context of one graduate program with moderate enrollment, which may affect generalizability.</t>
  </si>
  <si>
    <t>inventa limitações diferentes das reconhecidas no artigo, ignorando as reais.</t>
  </si>
  <si>
    <t>**Objectives:** The paper presents an innovative pedagogical approach to teaching graduate-level software engineering, aiming to realign education goals around developing ethical, reliable, and beautiful software. It seeks to blend foundational knowledge, modern practices like SaaS and microservices, and emerging research into a cohesive curriculum. The objective is to provide students with both technical and ethical competencies through iterative, hands-on learning.</t>
  </si>
  <si>
    <t>O objetivo está bem captado, mas as perguntas de pesquisa são inferências da IA, não constam no artigo.</t>
  </si>
  <si>
    <t>**Research Questions:** How can software engineering education be redesigned to prioritize ethical, reliable, and beautiful software?; What teaching methods and course structures best prepare students for modern software-intensive products?; How can academic curricula balance foundational knowledge with emerging industry practices and ethics?</t>
  </si>
  <si>
    <t>**Study Type:** Case study of a pedagogical approach in a graduate-level software engineering course.</t>
  </si>
  <si>
    <t>**Methodology:** The authors designed and implemented a graduate course structured around six dimensions: redefining software goals, engineering software as a service, applying architectural and design principles, rapid multi-modal prototyping, and a term-long real-world project. The course integrated IEEE SWEBOK, open-source practices, and current research. Feedback was collected through student evaluations, project outcomes, and iterative improvements across multiple semesters.</t>
  </si>
  <si>
    <t>**Main Findings:** Students reported strong positive outcomes, with course evaluations averaging 4.4/5.0 overall and 4.6/5.0 for learning effectiveness. Feedback emphasized the value of focusing on ethical, reliable, and beautiful software, clean architectures, and blending theory with modern practices. The inclusion of real-world projects and sponsors significantly enhanced student engagement and skill development. The approach bridged gaps between academic theory and industry expectations, equipping students with practical, ethical, and design-based skills.</t>
  </si>
  <si>
    <t>Abrange quase tudo corretamente, mas omite o ponto crítico da necessidade de atualizar constantemente o conteúdo.</t>
  </si>
  <si>
    <t>**Conclusions:** The approach effectively reshapes software engineering education to emphasize ethics, reliability, and aesthetics alongside technical rigor. Iterative, project-based learning with modern frameworks and real-world relevance enhances student preparedness for industry. The authors plan to expand the course to cover AI, sustainability, reuse, and designing for diverse users.</t>
  </si>
  <si>
    <t>**Limitations:** The findings are based on a single course within one graduate program; scalability to other institutions and contexts remains untested. Student feedback, while positive, represents a limited dataset. Long-term impacts on graduates' professional practice were not evaluated.</t>
  </si>
  <si>
    <t>cria novas limitações não mencionadas no artigo e ignora as que os autores realmente reconheceram.</t>
  </si>
  <si>
    <t>Texto 8</t>
  </si>
  <si>
    <t>**Objectives:** The paper proposes a comprehensive method for evaluating software reliability by modeling software as a complex network. It aims to measure structural quality, identify key modules with reliability risks, and predict high defect risk modules using historical defect data. The objective is to provide a more effective and holistic evaluation compared to traditional reliability models.</t>
  </si>
  <si>
    <t>**Research Questions:** How can complex network theory be applied to evaluate the structural quality of software systems?; How can key modules and their reliability risks be effectively identified to assess overall software reliability?; How can historical defect information and machine learning be used to predict high defect risk modules in current software versions?</t>
  </si>
  <si>
    <t>A IA transforma os 3 pilares da metodologia em perguntas de pesquisa, já que elas não estão explicitamente citadas</t>
  </si>
  <si>
    <t xml:space="preserve">**Study Type:** Methodological proposal with case-based conceptual application
</t>
  </si>
  <si>
    <t>**Methodology:** The authors abstract software into a network model where modules are nodes and relationships are edges, applying complex network theory to assess modularity, hierarchy, complexity, and fault propagation. They identify important modules by analyzing global and local structural importance and evaluate their reliability risk based on complexity and historical changes. Historical defect data is combined with machine learning techniques to predict high defect risk modules in the current version, enabling multi-angle reliability evaluation.</t>
  </si>
  <si>
    <t>Problema de prompt, pois a IA não alucinou, mas respondeu completamente diferente do gabarito por termos apenas perguntado a metodologia e não a metodologia de extração de dados e análise.</t>
  </si>
  <si>
    <t>**Main Findings:** The proposed approach evaluates software reliability from three complementary perspectives: structural quality, module reliability risk, and defect risk. Structural analysis highlights modularity, hierarchy, and fault propagation as key indicators of reliability. Module-level analysis identifies critical modules where complexity and frequent changes increase defect risk. Machine learning applied to defect history effectively predicts high defect risk modules, allowing more targeted improvements. Together, the method provides both qualitative insights and actionable guidance for enhancing reliability.</t>
  </si>
  <si>
    <t>**Conclusions:** The method enables a comprehensive reliability evaluation by integrating network analysis, module risk assessment, and defect prediction. It identifies weaknesses affecting reliability and offers practical guidance for software improvement. The approach provides a systematic alternative to traditional reliability testing models.</t>
  </si>
  <si>
    <t>**Objectives:** The paper proposes a comprehensive method to evaluate software reliability using complex network theory. It aims to measure software quality through structural characteristics, assess reliability risks of important modules, and predict high defect risk modules using historical defect data. The goal is to provide a multi-perspective evaluation that can guide software improvement.</t>
  </si>
  <si>
    <t>**Research Questions:** How can complex network theory be applied to evaluate software structural quality?; How can key modules and their reliability risks be identified and assessed?; How can historical defect data and machine learning be used to predict high defect risk modules in current software versions?</t>
  </si>
  <si>
    <t>**Study Type:** Methodological research and case analysis</t>
  </si>
  <si>
    <t>**Methodology:** The study abstracts software into a complex network where modules and relationships are represented as nodes and edges. Structural quality is evaluated through modularity, hierarchy, complexity, and fault propagation. Key modules are identified by analyzing both global and local structural importance, while their reliability risks are assessed using complexity and change rate data. Historical defect information is then used with machine learning techniques to predict high defect risk modules in the current version, providing a comprehensive reliability assessment.</t>
  </si>
  <si>
    <t xml:space="preserve">**Main Findings:** Software reliability can be effectively evaluated by integrating structural quality analysis, module reliability risk assessment, and defect risk prediction. The method highlights that modularity, hierarchy, and fault propagation significantly influence reliability. Identifying key modules and monitoring their complexity and change frequency is crucial, as they are often the source of defects. Incorporating historical defect data with machine learning enhances predictive accuracy in identifying high-risk modules. The approach provides a practical framework to guide targeted improvements in software systems.
</t>
  </si>
  <si>
    <t>**Conclusions:** The proposed method enables a comprehensive and multi-perspective evaluation of software reliability. By combining structural analysis, module-level risk assessment, and defect prediction, it identifies weaknesses and provides actionable insights for improving software quality. This approach offers a systematic way to strengthen software reliability beyond traditional testing-based models.</t>
  </si>
  <si>
    <t>**Limitations:** Not explicitly stated. However, the method depends on access to detailed structural data, reliable defect history, and suitable machine learning models, which may not always be available or generalizable across all software systems.</t>
  </si>
  <si>
    <t>A IA procurou erros na metodologia e apontou como falhas, mas não foi reconhecido pelos autores</t>
  </si>
  <si>
    <t>**Objectives:** The paper aims to propose a comprehensive method for evaluating software reliability by applying complex network theory to software structures. It seeks to measure structural quality, identify key modules and their reliability risks, and use defect prediction to assess overall reliability. The goal is to provide a multi-perspective evaluation approach that complements traditional reliability models.</t>
  </si>
  <si>
    <t>**Research Questions:** How can complex network theory be applied to evaluate the structural quality of software?; How can the importance and reliability risks of key modules be systematically assessed?; How can historical defect data and machine learning be used to predict high defect risk modules in the current version?</t>
  </si>
  <si>
    <t>**Study Type:** Methodological proposal with conceptual framework and illustrative application</t>
  </si>
  <si>
    <t>Ok</t>
  </si>
  <si>
    <t>**Methodology:** The authors conceptualize software as a complex network, representing modules as nodes and relationships as edges. They evaluate software structural quality based on modularity, hierarchy, complexity, and fault propagation. They identify and rank key modules using global and local importance measures and assess module reliability risks based on complexity and historical change rates. Finally, they incorporate historical defect data into machine learning models to predict modules with high defect risks in current versions.</t>
  </si>
  <si>
    <t>**Main Findings:** The method allows a multi-angle evaluation of software reliability by integrating structural, module-level, and defect-based perspectives. Structural metrics highlight weaknesses in modularity, hierarchy, and fault propagation. Module-level analysis identifies critical components whose complexity and change rates increase defect likelihood. Historical defect analysis combined with machine learning helps predict high-risk modules in new versions. Together, these approaches provide a more holistic and predictive evaluation of software reliability than traditional methods.</t>
  </si>
  <si>
    <t>**Conclusions:** The proposed method provides a comprehensive evaluation of software reliability by combining structural quality, reliability risks of key modules, and defect risks. It highlights weaknesses that affect reliability and offers practical guidance for targeted software improvement. The approach complements traditional reliability models by leveraging network analysis and defect prediction.</t>
  </si>
  <si>
    <t>Errado, essa metodo é uma alternativa aos métodos tradicionais, não um complemento</t>
  </si>
  <si>
    <t>**Objectives:** The paper aims to propose a comprehensive software reliability evaluation method based on complex network theory. It seeks to measure reliability by integrating structural quality, module reliability risks, and defect risks into a unified framework. The goal is to improve the accuracy and efficiency of software reliability evaluation compared to traditional methods.</t>
  </si>
  <si>
    <t>**Research Questions:** How can complex network theory be applied to evaluate software structural quality; How can key modules and their reliability risks be identified and assessed; How can historical defect information and machine learning be used to predict high defect risk modules</t>
  </si>
  <si>
    <t>**Study Type:** Methodological and applied research with conceptual framework and case analysis elements.</t>
  </si>
  <si>
    <t>ok</t>
  </si>
  <si>
    <t>**Methodology:** The authors conceptualize software as a complex network where modules are nodes and their relationships are edges. They evaluate structural quality in terms of modularity, hierarchy, complexity, and fault propagation using network metrics. Key modules are identified by analyzing their global and local importance, along with module complexity and change frequency to assess reliability risk. Historical defect data are analyzed with machine learning to predict high defect risk modules, integrating results from multiple algorithms for better accuracy.</t>
  </si>
  <si>
    <t>**Main Findings:** The method evaluates software reliability from three perspectives: structural quality, module reliability risk, and defect risk. Structural quality can be measured with network-based parameters and compared against reference thresholds from well-known open-source software. Identifying key modules and assessing their risks provides insights into potential reliability issues at both global and local levels. Machine learning analysis of historical defect data helps predict modules with higher defect risks in current versions. Combining these aspects provides a more comprehensive and practical evaluation of software reliability.</t>
  </si>
  <si>
    <t>**Conclusions:** The proposed method offers a multi-dimensional approach to software reliability evaluation by combining structural analysis, module risk assessment, and defect prediction. It provides qualitative insights into weaknesses affecting software reliability and can guide targeted improvements. The framework demonstrates that reliability evaluation should go beyond failure time statistics to incorporate structural and historical defect perspectives.</t>
  </si>
  <si>
    <t>**Limitations:** Not explicitly stated. However, potential limitations include dependence on the availability and quality of historical defect data, variability in the accuracy of machine learning models, and challenges in weighting different network parameters across software types.</t>
  </si>
  <si>
    <t>**Objectives:** The paper proposes a comprehensive approach to evaluate software reliability by leveraging complex network theory. It aims to measure software quality through structural analysis, assess reliability risks of critical modules, and predict high-defect-risk modules using historical defect data.</t>
  </si>
  <si>
    <t>**Research Questions:** How can software reliability be effectively evaluated beyond traditional hardware-based approaches; What role does network structure (modularity, hierarchy, complexity, fault propagation) play in assessing software reliability; How can the importance and risks of software modules be measured; Can historical defect data and machine learning predict high-risk modules in current software versions</t>
  </si>
  <si>
    <t>**Study Type:** Methodological research with conceptual framework and application outline</t>
  </si>
  <si>
    <t>**Methodology:** The authors abstract software systems into complex networks, representing modules as nodes and relationships as edges, and evaluate structural quality in terms of modularity, hierarchy, complexity, and fault propagation. They identify critical modules by analyzing global and local structural importance, module complexity, and historical change rates. Finally, they use machine learning on historical defect data to predict modules with high defect risks in current versions, combining results from different algorithms to improve prediction accuracy.</t>
  </si>
  <si>
    <t>**Main Findings:** The network-based method enables a multidimensional evaluation of software reliability by integrating structural quality, reliability risks of key modules, and defect risk prediction. Modularity and hierarchy enhance software stability, while high complexity and fault propagation increase risk. Identifying and focusing on key modules provides a practical path for targeted reliability improvement. Machine learning effectively uses defect history to anticipate future high-risk modules, offering proactive guidance for software quality assurance.</t>
  </si>
  <si>
    <t>**Conclusions:** Software reliability can be more accurately evaluated by combining structural analysis, module risk assessment, and defect prediction. This comprehensive method highlights weaknesses and guides improvements, offering more actionable insights than traditional reliability models.</t>
  </si>
  <si>
    <t>**Objectives:** The paper proposes a comprehensive method to measure software reliability using complex network theory. It seeks to evaluate software reliability from structural, modular, and defect perspectives, combining them into a unified assessment framework. The goal is to provide more accurate and actionable insights than traditional reliability models.</t>
  </si>
  <si>
    <t>**Research Questions:** How can complex network theory be applied to evaluate software reliability?; Which structural features of software networks best indicate quality and fault tolerance?; How can module importance and historical defect data be integrated to predict high-risk components?; How can a combined approach improve overall reliability evaluation compared to traditional methods?</t>
  </si>
  <si>
    <t>**Study Type:** Methodological research proposal with case analysis</t>
  </si>
  <si>
    <t>**Methodology:** The method has three components: (1) abstracting software into a complex network to evaluate structural quality in terms of modularity, hierarchy, complexity, and fault propagation; (2) identifying important modules and assessing their reliability risks using metrics like structural complexity, change rate, and connectivity; (3) applying machine learning models to historical defect data to predict high-risk modules in the current version. The three perspectives are then combined to form a comprehensive reliability evaluation framework.</t>
  </si>
  <si>
    <t>**Main Findings:** The approach enables a multi-dimensional evaluation of software reliability by combining network-level structural analysis, module-level reliability risks, and historical defect prediction. Structural analysis captures system-level quality, while module analysis highlights critical components with high failure risks. Machine learning enhances prediction of defect-prone modules, enabling proactive quality assurance. Together, the framework provides both qualitative insights and quantitative reliability measures.</t>
  </si>
  <si>
    <t xml:space="preserve">O artigo descreve o output como qualitativo e não quantitativo </t>
  </si>
  <si>
    <t>**Conclusions:** The proposed method offers a more holistic reliability evaluation by integrating structural, modular, and defect perspectives. It helps identify weaknesses in software systems and provides guidance for targeted improvements. This multi-angle approach is more effective than traditional time-to-failure models for complex modern software.</t>
  </si>
  <si>
    <t xml:space="preserve">O artigo não afirma ser mais efetivo, só ser uma alternativa </t>
  </si>
  <si>
    <t>**Objectives:** The paper aims to propose a new approach to evaluate software reliability by modeling software as a complex network. It seeks to address limitations of traditional reliability models by incorporating structural properties of software systems.</t>
  </si>
  <si>
    <t>**Research Questions:** How can software be modeled as a network for reliability evaluation; Which network metrics effectively represent reliability-related characteristics; How does the proposed method compare with traditional reliability evaluation approaches</t>
  </si>
  <si>
    <t>**Study Type:** Theoretical model proposal with illustrative case analysis</t>
  </si>
  <si>
    <t>**Methodology:** The authors construct a software network by mapping modules or functions as nodes and their relationships as edges. They apply complex network theory to analyze topological properties such as degree distribution, centrality, and clustering. Reliability is then assessed by correlating these structural attributes with potential fault propagation and robustness.</t>
  </si>
  <si>
    <t>**Main Findings:** The study demonstrates that software systems exhibit small-world and scale-free characteristics. Central nodes play a critical role in system reliability since their failure may disproportionately affect stability. The proposed method provides a more nuanced evaluation compared to traditional statistical reliability models.</t>
  </si>
  <si>
    <t>**Conclusions:** Software network analysis offers a promising approach for reliability evaluation, highlighting critical modules and interdependencies. This method can complement existing reliability engineering practices.</t>
  </si>
  <si>
    <t>Texto 9</t>
  </si>
  <si>
    <t>**Objectives:** The paper proposes an automated approach to improve safety testing efficiency by extending state diagrams with large language models (LLMs) and generating test cases through optimized genetic algorithms. It aims to reduce reliance on tester experience, improve test coverage, and significantly shorten execution time in safety-critical domains such as aviation.</t>
  </si>
  <si>
    <t xml:space="preserve">Correto
</t>
  </si>
  <si>
    <t>**Research Questions:** How can LLMs be used to extend safety state diagrams systematically based on aviation standards?; How can genetic algorithms, combined with LLM optimization, improve the efficiency of test case generation?; To what extent can automated state diagram extension and test case generation reduce reliance on human expertise and improve safety testing effectiveness?</t>
  </si>
  <si>
    <t>Parcial, A IA transforma os objetivos em perguntas de pesquisa, já que elas não estão explicitamente citadas</t>
  </si>
  <si>
    <t xml:space="preserve">**Study Type:** Methodological proposal with experimental evaluation on an aviation control system
</t>
  </si>
  <si>
    <t xml:space="preserve">**Methodology:** The approach extracts safety criteria from aviation standards (DO-178C, ARP 4754A) and uses them with LLMs to extend state diagrams with safety states. The LLM was fine-tuned (Qwen2-72B-Instruct with LoRA) on aviation software datasets for better domain performance. Extended state diagrams were verified using UPPAAL and manual review. For test case generation, edge-first depth traversal was used to generate test paths, while genetic algorithms with LLM-guided hyper-parameter tuning and mutation were applied to generate test data. Experiments were conducted on an altitude control system to evaluate performance.
</t>
  </si>
  <si>
    <t xml:space="preserve">**Main Findings:** The extended state diagrams successfully integrated safety states, reducing omissions caused by inexperienced testers. LLMs significantly improved genetic algorithm efficiency, reducing execution rounds by up to 90% compared to traditional methods. Among tested strategies, LLM-guided individual mutation performed best, offering stable and efficient performance across different paths. The method improved test coverage, generated more independent paths, and enhanced overall test case comprehensiveness.
</t>
  </si>
  <si>
    <t xml:space="preserve">**Conclusions:** The proposed method effectively automates safety state diagram extension and test case generation, improving test efficiency and reliability while reducing reliance on human expertise. Experimental results show strong reductions in execution rounds and enhanced path coverage, demonstrating the method's potential for safety-critical software testing. Future work will focus on enriching safety criteria and incorporating context-aware path generation.
</t>
  </si>
  <si>
    <t xml:space="preserve">**Limitations:** The study's safety criteria were limited to four categories with 25 sub-items; test path generation did not consider contextual dependencies; evaluation was limited to a specific aviation system case study.
</t>
  </si>
  <si>
    <t xml:space="preserve">Correto, adicionou numero de categorias e subcategorias e evaluation was limited to a specific aviation system case study.
</t>
  </si>
  <si>
    <t>**Objectives:** The paper aims to improve the efficiency and quality of safety testing by leveraging Large Language Models (LLMs) to automate the extension of state diagrams and the generation of safety test cases. It reduces reliance on human experience and enhances test coverage and reliability, particularly in safety-critical domains such as aviation.</t>
  </si>
  <si>
    <t>**Research Questions:** How can LLMs be used to automatically extend safety state diagrams to cover critical safety properties; How can LLMs optimize genetic algorithms to generate more efficient and reliable test cases; To what extent can the proposed approach improve test engineer efficiency and testing quality in safety-critical systems</t>
  </si>
  <si>
    <t>**Study Type:** Experimental research with model implementation and evaluation</t>
  </si>
  <si>
    <t xml:space="preserve">**Methodology:** The authors extracted safety properties from aviation standards DO-178C and ARP 4754A, categorized them, and used them to extend basic state diagrams via a fine-tuned Qwen2-72B-Instruct model with LoRA optimization. Prompts with and without contextual information were designed to guide LLM outputs, followed by validation with the UPPAAL tool and manual review. Test case generation combined an edge-first depth traversal algorithm with LLM-optimized genetic algorithms for hyperparameter tuning and individual mutation. The approach was evaluated on an altitude control system case study and compared with traditional and improved genetic algorithms.
</t>
  </si>
  <si>
    <t xml:space="preserve">**Main Findings:** LLMs successfully extended state diagrams with additional safety states, improving completeness and reliability of safety modeling. The integration of LLMs into genetic algorithms significantly reduced execution rounds, achieving up to 90% reduction compared to classical methods and around 77–94% reduction compared to recent improved algorithms. The use of LLM-guided individual mutation proved most effective and stable across different paths, outperforming hyperparameter-only optimization and traditional algorithms. Experiments validated that the approach improves test path coverage, state node coverage, and test case comprehensiveness.
</t>
  </si>
  <si>
    <t xml:space="preserve">**Conclusions:** The proposed LLM-based method effectively enhances safety testing by automating state diagram extension and optimizing test case generation. It reduces reliance on manual expertise, improves efficiency, and ensures broader coverage in safety-critical systems. The results show that LLM-guided genetic algorithms provide significant improvements in both execution efficiency and stability.
</t>
  </si>
  <si>
    <t>**Limitations:** The method currently extracts only four categories of safety criteria with limited sub-items, which may not fully represent all safety concerns. Test path generation does not yet incorporate contextual relationships between transitions, which could lead to incomplete or conflicting paths. Future work is needed to expand safety criteria coverage, enrich sample libraries, and develop context-aware path generation techniques.</t>
  </si>
  <si>
    <t>Correto, adicionou numero de categorias e subcategorias e  enrich sample libraries</t>
  </si>
  <si>
    <t xml:space="preserve">**Objectives:** The paper proposes an approach to enhance safety testing efficiency by combining large language models (LLMs) with state diagram extension and test case generation. It aims to reduce reliance on tester experience, improve test coverage, and optimize the efficiency of genetic algorithms used in safety-critical domains like aviation.
</t>
  </si>
  <si>
    <t xml:space="preserve">**Research Questions:** How can LLMs be used to extend safety state diagrams systematically?; How can LLMs improve test case generation and efficiency in safety testing through genetic algorithm optimization?; Can this approach reduce reliance on tester experience while maintaining or improving safety testing quality?
</t>
  </si>
  <si>
    <t>**Study Type:** Experimental study with method design and evaluation in a case study</t>
  </si>
  <si>
    <t xml:space="preserve">**Methodology:** The authors extracted safety criteria from aviation standards (DO-178C, ARP 4754A) and used them to guide state diagram extensions via a fine-tuned LLM (Qwen2-72B-Instruct with LoRA). They designed prompt strategies (with and without context) to enhance diagram extension reliability. For test case generation, they integrated edge-first depth traversal with a genetic algorithm, optimized by LLMs for hyperparameter tuning and individual mutation. The method was evaluated using an aviation altitude control system as a case study, validated with UPPAAL and experimental comparisons across six genetic algorithm variants.
</t>
  </si>
  <si>
    <t xml:space="preserve">**Main Findings:** The LLM-extended state diagrams systematically incorporated safety properties, reducing errors and omissions caused by inexperienced testers. Test case generation benefited from edge-first depth traversal and LLM-optimized genetic algorithms, producing more comprehensive and reliable test cases. Experiments showed significant efficiency gains: execution rounds were reduced by ~90% compared to classical genetic algorithms and by ~77% on average across improved variants. Individual mutation guided by LLMs achieved the most stable and efficient performance. The approach also demonstrated effectiveness in ensuring safety criteria coverage and robustness in complex paths.
</t>
  </si>
  <si>
    <t xml:space="preserve">**Conclusions:** The proposed method effectively automates safety state diagram extension and test case generation, reducing reliance on manual tester expertise. LLM-based optimization significantly improves genetic algorithm performance, making safety testing more efficient and comprehensive. The approach is broadly applicable to safety-critical systems with similar properties.
</t>
  </si>
  <si>
    <t>**Limitations:** The extraction of safety criteria was limited to four categories and 25 sub-items; broader criteria are needed for more comprehensive coverage. Current path generation methods did not account for contextual dependencies between transitions, which may lead to incomplete execution conditions. The study was validated on a single aviation case study, limiting generalizability.</t>
  </si>
  <si>
    <t>Correto, adicionou numero de categorias e subcategorias e  a limitação de usar apenas um caso especifico</t>
  </si>
  <si>
    <t xml:space="preserve">**Objectives:** The paper aims to enhance the efficiency and reliability of safety testing by leveraging large language models (LLMs) to automate state diagram extension and test case generation. It seeks to reduce reliance on the experience of test engineers and improve coverage, accuracy, and speed in safety-critical software testing.
</t>
  </si>
  <si>
    <t xml:space="preserve">**Research Questions:** How can LLMs be used to automatically extend state diagrams with safety properties extracted from aviation standards; How can LLMs optimize genetic algorithms for more efficient test case generation; What improvements in test coverage, efficiency, and reliability can be achieved compared to traditional methods
</t>
  </si>
  <si>
    <t xml:space="preserve">**Study Type:** Experimental study with applied model development and evaluation
</t>
  </si>
  <si>
    <t>**Methodology:** The authors extracted safety criteria from aviation standards (DO-178C and ARP 4754A) and categorized them into four groups. They fine-tuned the Qwen2-72B-Instruct LLM using LoRA and designed prompt strategies to extend basic state diagrams with safety properties. Test paths were generated using an edge-first depth traversal method, while genetic algorithms were applied to infer test data. LLMs were used to optimize hyper-parameters and guide individual mutations. Evaluation was conducted on an aviation altitude control system with comparisons to six genetic algorithm variants.</t>
  </si>
  <si>
    <t xml:space="preserve">**Main Findings:** LLMs successfully extended state diagrams with safety properties, reducing omissions caused by limited tester experience. The proposed approach improved test coverage and reliability by generating more comprehensive and independent paths. Incorporating LLMs into genetic algorithms significantly reduced execution rounds (up to 90% reduction) and improved stability. Individual mutation guided by LLMs yielded the most efficient results, outperforming both traditional genetic algorithms and those with only hyper-parameter optimization. Results showed consistent efficiency improvements across multiple GA variants.
</t>
  </si>
  <si>
    <t xml:space="preserve">**Conclusions:** The study demonstrates that LLM-based state diagram extension and test case generation can greatly improve the efficiency, reliability, and coverage of safety testing. By reducing reliance on manual expertise and optimizing genetic algorithms, the approach offers a scalable solution applicable to various safety-critical systems. This method provides substantial benefits for testing engineers in aviation and other safety domains.
</t>
  </si>
  <si>
    <t>**Limitations:** The extraction of safety criteria was limited to four categories and 25 sub-items; contextual relationships between transitions in path generation were not fully addressed. The study was applied to a single aviation system, limiting generalizability.</t>
  </si>
  <si>
    <t xml:space="preserve">**Objectives:** The paper aims to improve the efficiency and reliability of safety testing in software, particularly in aviation systems, by automating state diagram extensions and test case generation using large language models (LLMs). It seeks to reduce reliance on the personal experience of test engineers and to optimize genetic algorithms for faster and more stable test case generation.
</t>
  </si>
  <si>
    <t xml:space="preserve">**Research Questions:** How can large language models be used to extend safety state diagrams systematically; How can test case generation based on state diagrams be optimized with LLMs; Can LLMs improve the efficiency and stability of genetic algorithms in safety testing; What benefits do LLM-based methods bring compared to traditional approaches
</t>
  </si>
  <si>
    <t xml:space="preserve">**Study Type:** Applied research with experimental evaluation
</t>
  </si>
  <si>
    <t xml:space="preserve">**Methodology:** The authors extracted safety criteria from aviation standards DO-178C and ARP 4754A and used them as a basis to extend state diagrams via fine-tuned large language models (Qwen2-72B-Instruct with LoRA). They designed prompt strategies for effective diagram extension and validated results with UPPAAL and manual checks. For test case generation, they integrated edge-first depth traversal with genetic algorithms, and LLMs were applied to optimize hyper-parameters and mutation processes. Experiments were conducted on an aviation altitude control system, comparing baseline and LLM-enhanced approaches.
</t>
  </si>
  <si>
    <t xml:space="preserve">**Main Findings:** LLMs can successfully extend basic state diagrams into safety-enhanced diagrams, systematically incorporating safety properties. Using LLMs in genetic algorithms significantly reduces execution rounds, achieving up to 90% reduction compared to traditional methods. Among the tested strategies, LLM-guided individual mutation provided the most stable and efficient results. Experimental validation demonstrated improved coverage, reliability, and independence of generated test paths.
</t>
  </si>
  <si>
    <t xml:space="preserve">**Conclusions:** The proposed LLM-based approach effectively automates safety state diagram extension and test case generation, reducing reliance on manual expertise and improving efficiency. The integration of LLMs with genetic algorithms enhances both execution stability and performance, making the method applicable to a wide range of safety-critical systems.
</t>
  </si>
  <si>
    <t>**Limitations:** The current extraction of safety criteria is limited to four main categories and 25 sub-items. The test path generation method does not fully consider contextual dependencies between transitions. The evaluation was limited to an aviation altitude control system, so further generalization is needed.</t>
  </si>
  <si>
    <t>**Objectives:** The paper aims to enhance software safety testing efficiency by leveraging large language models (LLMs) to automate the extension of safety state diagrams and improve test case generation. It seeks to reduce reliance on tester experience, prevent omissions in safety analysis, and accelerate the generation of reliable test data through optimized genetic algorithms.</t>
  </si>
  <si>
    <t>**Research Questions:** How can LLMs be used to systematically extend safety state diagrams with aviation safety criteria?; How can LLMs optimize genetic algorithms to improve efficiency and accuracy in safety test case generation?</t>
  </si>
  <si>
    <t>**Study Type:** Experimental applied research</t>
  </si>
  <si>
    <t>**Methodology:** The authors extracted safety criteria from aviation standards (DO-178C and ARP 4754A) and applied them to extend software state diagrams using fine-tuned LLMs (Qwen2-72B-Instruct with LoRA). They designed prompt strategies, performed manual validation, and verified results with UPPAAL. For test case generation, they combined edge-first depth traversal with genetic algorithms, where LLMs optimized hyper-parameters and guided mutation. Experiments were conducted on an aviation altitude control system and compared across multiple genetic algorithm variants.</t>
  </si>
  <si>
    <t>**Main Findings:** The LLM-extended state diagrams effectively incorporated four categories of safety criteria, improving completeness and reliability. Test case generation combining edge-first traversal and LLM-optimized genetic algorithms significantly reduced execution rounds—up to 90% compared to classical genetic algorithms and around 77% on average against recent improved variants. Individual mutation guided by LLMs achieved the most stable and efficient results. The approach enhanced path coverage, generated more independent test paths, and reduced reliance on tester expertise.</t>
  </si>
  <si>
    <t>**Conclusions:** The proposed framework demonstrates that LLMs can automate safety state diagram extension and optimize test case generation, improving efficiency and reducing human dependency. The method achieves higher coverage, reliability, and efficiency in safety testing, particularly for complex systems. It is broadly applicable to systems with similar safety requirements and provides a foundation for more robust safety testing practices.</t>
  </si>
  <si>
    <t>**Limitations:** The extraction of safety criteria was limited to four categories and 25 sub-items; contextual dependencies in path generation were not fully addressed. Future work is needed to enrich safety criteria libraries and develop context-aware path generation techniques.</t>
  </si>
  <si>
    <t>**Objectives:** The study aims to extend traditional state diagrams with additional semantics to support safety-critical system testing and to leverage large language models (LLMs) for automated test case generation. It seeks to improve the efficiency and accuracy of test engineers working in safety testing contexts.</t>
  </si>
  <si>
    <t>**Research Questions:** How can state diagrams be extended to better represent safety-related behavior; How can large language models be used to generate meaningful and efficient test cases from these extended diagrams; To what extent can this approach improve the efficiency of test engineers in safety testing</t>
  </si>
  <si>
    <t xml:space="preserve">
**Study Type:** Applied research with experimental validation</t>
  </si>
  <si>
    <t>**Methodology:** The authors extend the formalism of state diagrams to include safety attributes and transition semantics. They design a framework where extended diagrams are used as structured inputs to large language models, which then generate candidate test cases. The generated cases are compared against manually created ones in terms of coverage, efficiency, and relevance.</t>
  </si>
  <si>
    <t>Parcial, não menciona especificamente o LLM e o prompt engineering usado (LoRA fine-tuning)</t>
  </si>
  <si>
    <t>**Main Findings:** The approach enables the generation of comprehensive test cases that align well with safety requirements. LLMs were able to produce diverse and relevant test cases when guided by the extended diagram semantics. The method reduced the manual workload of engineers while maintaining or improving coverage. Empirical evaluation showed improved efficiency and consistency over traditional manual methods.</t>
  </si>
  <si>
    <t xml:space="preserve">Correto, mas não menciona a porcentagem de redução
</t>
  </si>
  <si>
    <t>**Conclusions:** Combining extended state diagrams with large language models is an effective strategy to support safety test engineers. The method reduces human effort, increases efficiency, and maintains high quality in test case generation.</t>
  </si>
  <si>
    <t xml:space="preserve">
**Limitations:** The evaluation is limited to selected case studies and may not generalize across all domains; Dependence on the quality of the LLM prompts and model capabilities may affect consistency.</t>
  </si>
  <si>
    <t>Incorreto, não menciona a limitação de safety criteria e adicionou dependencia na qualidade do modelo de LLM e o prompt usado</t>
  </si>
  <si>
    <t>Texto 10</t>
  </si>
  <si>
    <t>**Objectives:** The study aims to propose a model for estimating maintainability in agile software projects by determining weight coefficients of key criteria. It focuses on addressing the lack of defined models for quality measurement in agile environments and emphasizes maintainability as a critical quality factor.</t>
  </si>
  <si>
    <t>**Research Questions:** How can maintainability of agile software products be quantitatively assessed; Which maintainability criteria are most critical in agile environments; How can weight coefficients be systematically assigned to these criteria</t>
  </si>
  <si>
    <t>As perguntas estão alinhadas ao espírito do estudo, mas não constam no gabarito nem no artigo como questões oficiais; foram inferidas</t>
  </si>
  <si>
    <t>**Study Type:** Model proposal with expert-based validation using a multi-criteria decision-making approach</t>
  </si>
  <si>
    <t>descreve com precisão o caráter metodológico, mas extrapola detalhando validação por especialistas, o que não está no gabarito oficial.</t>
  </si>
  <si>
    <t>**Methodology:** The authors adopt the SWARA (Step-wise Weight Assessment Ratio Analysis) methodology, a multi-criteria decision-making technique. Four maintainability criteria—user stories, story points, pre-defects, and post-defects—were identified based on prior research and expert input. Experts ranked these criteria, provided comparative significance, and SWARA was applied to derive weight coefficients that sum to 1, allowing maintainability estimation for agile projects.</t>
  </si>
  <si>
    <t>A descrição do SWARA está correta e detalhada, mas a IA omitiu a parte da literature review destacada no gabarito.</t>
  </si>
  <si>
    <t>**Main Findings:** The SWARA results show that 'pre-defects' had the highest weight, followed by 'post-defects', 'story points', and finally 'user stories'. The model demonstrates that assigning systematic weights enables maintainability estimation of agile software products. The proposed model highlights the importance of defect-related metrics in predicting maintainability compared to requirement-based measures.</t>
  </si>
  <si>
    <t>apresenta corretamente a ordem dos pesos, mas não enfatiza que o resultado principal é a possibilidade de calcular o valor estimado de manutenibilidade, como indicado no gabarito.</t>
  </si>
  <si>
    <t>**Conclusions:** The study concludes that maintainability is essential for software quality in agile development and can be effectively estimated using the proposed SWARA-based model. The approach allows industry experts to rank criteria and assign rational weights, enabling quantitative estimation of maintainability values for agile projects.</t>
  </si>
  <si>
    <t>acerta no essencial, mas omite a menção explícita aos quatro critérios e ao impacto na qualidade global do software.</t>
  </si>
  <si>
    <t>**Limitations:** The model is limited by the small number of criteria considered (four), potentially reducing accuracy. Additional factors such as productivity and defect density could enhance the model's robustness.</t>
  </si>
  <si>
    <t>**Objectives:** The study proposes a model to estimate software maintainability within agile environments by assigning weight coefficients to critical maintainability criteria. Its aim is to provide a structured, quantitative basis for assessing quality, since agile practices currently lack a defined model for measuring maintainability.</t>
  </si>
  <si>
    <t>**Research Questions:** How can maintainability be quantitatively assessed in agile software development; Which criteria best represent maintainability in agile environments; How can the SWARA method be applied to determine weight coefficients for these criteria</t>
  </si>
  <si>
    <t>As perguntas são coerentes e refletem os objetivos, mas não constam no artigo/gabarito — são inferências</t>
  </si>
  <si>
    <t>**Study Type:** Model proposal and methodological study</t>
  </si>
  <si>
    <t>Reconhece o caráter metodológico, mas acrescenta “model proposal”, não indicado no gabarito oficial.</t>
  </si>
  <si>
    <t>**Methodology:** The authors identify maintainability as a key factor in software quality and propose a multi-criteria decision-making (MCDM) approach. They apply the Step-wise Weight Assessment Ratio Analysis (SWARA) method to four selected maintainability criteria—user stories, story points, pre-defects, and post-defects—ranked and weighted using expert opinions. SWARA enables domain experts to collaboratively determine relative importance and derive normalized coefficients summing to one.</t>
  </si>
  <si>
    <t>A descrição do SWARA está correta e até mais detalhada, mas a revisão de literatura, presente no gabarito, foi omitida.</t>
  </si>
  <si>
    <t>**Main Findings:** Among the four criteria, pre-defects received the highest weight, followed by post-defects, story points, and user stories. This ranking highlights the greater impact of defect-related factors on maintainability compared to requirements documentation. The proposed model provides a quantitative means to estimate overall maintainability values in agile projects, which can help organizations plan maintenance efforts more effectively.</t>
  </si>
  <si>
    <t>O ranking está correto, mas o foco principal do gabarito (uso para calcular valor estimado de manutenibilidade) aparece só parcialmente; a IA enfatiza planejamento em vez disso.</t>
  </si>
  <si>
    <t>**Conclusions:** Maintainability plays a vital role in defining software quality, particularly in agile development. The proposed SWARA-based model provides a structured method for determining the importance of different maintainability criteria, offering a practical way to estimate maintainability values and, by extension, overall software quality. The model helps bridge the gap between agile practices and quantitative quality assessment.</t>
  </si>
  <si>
    <t>está correto no geral, mas não reforça explicitamente os quatro critérios e a ligação direta com o processo de ranking pelos especialistas.</t>
  </si>
  <si>
    <t>**Limitations:** The model only considers four maintainability criteria. Broader inclusion of other factors, such as productivity and defect density, could improve accuracy and generalizability.</t>
  </si>
  <si>
    <t>**Objectives:** The paper aims to propose a model for evaluating the maintainability of software products developed in agile environments. It seeks to determine weight coefficients for critical maintainability criteria using a structured multi-criteria decision-making approach. The ultimate goal is to enable early estimation of software maintainability to improve quality and reduce long-term maintenance costs.</t>
  </si>
  <si>
    <t>Está alinhada na essência, mas adiciona meta de reduzir custos de manutenção, que não aparece no gabarito/texto.</t>
  </si>
  <si>
    <t>**Research Questions:** How can maintainability of agile software projects be quantitatively estimated?; Which criteria are most critical for assessing maintainability in agile environments?; How can weight coefficients for these criteria be systematically determined?</t>
  </si>
  <si>
    <t>As perguntas são plausíveis, mas não existem no artigo/gabarito oficial, são inferências.</t>
  </si>
  <si>
    <t>**Study Type:** Model development and validation using expert-based multi-criteria decision-making</t>
  </si>
  <si>
    <t>Reconhece o caráter metodológico, mas expande com “validation” e especificidade de especialistas, não indicado no gabarito.</t>
  </si>
  <si>
    <t>**Methodology:** The study applies the Step-wise Weight Assessment Ratio Analysis (SWARA) method, a multi-criteria decision-making approach, to determine the weights of selected maintainability criteria. Experts from the software industry ranked four key criteria—user stories, story points, pre-defects, and post-defects—based on their importance. The SWARA procedure was then used to calculate normalized weight coefficients, ensuring that the sum equals one. These coefficients can be applied to estimate maintainability values in agile projects.</t>
  </si>
  <si>
    <t>A explicação do SWARA e dos critérios está correta, mas não menciona a literature review, parte essencial no gabarito.</t>
  </si>
  <si>
    <t>**Main Findings:** The results indicated that pre-defects had the highest weight coefficient, highlighting the importance of identifying defects before deployment. Post-defects were the next most significant, followed by story points and user stories. The weighted model provides a systematic way to estimate overall maintainability for agile projects. This prioritization aligns with the industry's emphasis on defect detection and correction as key drivers of software quality and maintainability.</t>
  </si>
  <si>
    <t>Ranking está certo, mas não destaca suficientemente que o objetivo central é a estimativa de valor de manutenibilidade.</t>
  </si>
  <si>
    <t>**Conclusions:** The proposed model successfully offers a structured approach to estimating software maintainability in agile development using weighted criteria. By applying SWARA, the study demonstrates that maintainability can be quantified early in the development process, aiding in cost control and quality assurance. The model underscores the importance of defect-related criteria over requirement sizing factors.</t>
  </si>
  <si>
    <t>Correto no geral, mas extrapola com “custo” e não destaca a importância dos quatro critérios explicitamente.</t>
  </si>
  <si>
    <t>**Limitations:** The model only considered four criteria (user stories, story points, pre-defects, post-defects), which limits comprehensiveness. Additional factors such as productivity, defect density, and resource utilization could improve accuracy. Validation was limited to expert judgment without large-scale empirical testing.</t>
  </si>
  <si>
    <t>Parte inicial está correta, mas a IA  adiciona validação empírica limitada, que não aparece no texto base.</t>
  </si>
  <si>
    <t>**Objectives:** The paper aims to propose a model for estimating the maintainability of software developed in agile environments by identifying key criteria and assigning weight coefficients. It seeks to address the lack of precise models for maintainability assessment in agile processes.</t>
  </si>
  <si>
    <t>**Research Questions:** Which criteria are most critical for assessing maintainability in agile software development; How can weight coefficients for these maintainability criteria be systematically determined; Can SWARA provide an effective approach for calculating these weights</t>
  </si>
  <si>
    <t>Perguntas são coerentes com o tema, mas não constam no artigo/gabarito; são inferências</t>
  </si>
  <si>
    <t>**Study Type:** Methodological research with model development</t>
  </si>
  <si>
    <t>Reconhece a natureza metodológica, mas adiciona “model development”, não presente no gabarito.</t>
  </si>
  <si>
    <t>**Methodology:** The authors review existing literature on software maintainability assessment and identify gaps in agile contexts. They adopt the SWARA (Step-Wise Weight Assessment Ratio Analysis) multi-criteria decision-making method to determine the weight coefficients of selected criteria. Four criteria—user stories, story points, pre-defects, and post-defects—were selected through expert input. The SWARA process was applied step by step, ranking criteria and deriving weight values to compute an estimated maintainability index for agile projects.</t>
  </si>
  <si>
    <t>**Main Findings:** The study found that pre-defects carried the highest weight coefficient among the maintainability criteria, followed by post-defects, story points, and user stories. This indicates that defect-related measures are more significant in assessing maintainability compared to size or requirement-based measures. The proposed model demonstrates that maintainability values can be calculated early in the software lifecycle, enabling better cost and effort planning. The use of SWARA provided a structured and collaborative way to capture expert opinions and derive consistent weights.</t>
  </si>
  <si>
    <t>Ranking e cálculo são corretos, mas há extrapolações (ciclo de vida, custo, colaboração) que não aparecem no gabarito.</t>
  </si>
  <si>
    <t>**Conclusions:** Maintainability is a key determinant of software quality, and it should be systematically assessed in agile projects. The proposed SWARA-based model offers a practical approach for assigning weights to maintainability criteria, allowing estimation of maintainability values and supporting quality assurance. However, the model currently uses a limited set of criteria and could be extended for greater accuracy.</t>
  </si>
  <si>
    <t>Correto em essência, mas omite referência explícita aos quatro critérios e expande em pontos não destacados no gabarito.</t>
  </si>
  <si>
    <t>**Limitations:** The model is constrained by the limited number of maintainability criteria considered (only four). Its accuracy and applicability could be improved by incorporating additional factors such as productivity or defect density. Empirical validation on larger, real-world projects is not provided.</t>
  </si>
  <si>
    <t>Parte inicial está correta, mas a inclusão de “validação empírica” não consta no gabarito.</t>
  </si>
  <si>
    <t>**Objectives:** The paper proposes a model to estimate the maintainability value of software products developed using agile practices. It aims to determine weight coefficients for selected maintainability criteria using the SWARA (Step-wise Weight Assessment Ratio Analysis) decision-making approach.</t>
  </si>
  <si>
    <t>**Research Questions:** How can maintainability of agile software products be quantitatively estimated?; Which criteria are most critical for evaluating software maintainability in agile environments?; How can SWARA be applied to determine the weight coefficients of these criteria?</t>
  </si>
  <si>
    <t>perguntas são coerentes com o tema, mas não existem formalmente no artigo/gabarito.</t>
  </si>
  <si>
    <t>**Study Type:** Model development and expert-based evaluation</t>
  </si>
  <si>
    <t>Reconhece a natureza metodológica, mas adiciona “model development” e “expert-based evaluation”, que não aparecem no gabarito.</t>
  </si>
  <si>
    <t>**Methodology:** The authors identified four maintainability criteria—user stories, story points, pre-defects, and post-defects—through literature and expert opinion. Using the SWARA multi-criteria decision-making approach, experts ranked the criteria from most to least significant. The methodology calculated aggregated ranks and weight coefficients (Qj values), which sum to 1, to quantify the relative importance of each criterion. The results provided maintainability weights applicable to agile software projects.</t>
  </si>
  <si>
    <t>**Main Findings:** Pre-defects received the highest weight coefficient, followed by post-defects, story points, and user stories. This indicates that defect-related measures are more critical in estimating maintainability than requirement-based measures. The model enables calculation of an estimated maintainability value for any agile project once these criteria are quantified. The approach demonstrates that SWARA can effectively incorporate expert judgment into maintainability estimation.</t>
  </si>
  <si>
    <t>**Conclusions:** The proposed model provides a structured way to assess maintainability in agile projects by ranking and weighting critical criteria. It highlights pre-defects and post-defects as the most influential factors. The study concludes that applying SWARA yields practical weight coefficients that can improve maintainability estimation and, ultimately, software quality.</t>
  </si>
  <si>
    <t>Correto em essência, mas não enfatiza explicitamente os quatro critérios nem o papel direto dos especialistas, como consta no gabarito.</t>
  </si>
  <si>
    <t>**Limitations:** The model uses only four criteria, which may limit accuracy. Additional factors such as productivity or defect density could enhance results. Reliance on expert opinion introduces subjectivity and restricts generalizability.</t>
  </si>
  <si>
    <t>Parte inicial correta, mas a inclusão de “subjetividade” e “generalizabilidade” não aparece no gabarito.</t>
  </si>
  <si>
    <t>**Objectives:** The study aims to develop a model for estimating the maintainability value of software projects developed in agile environments. It focuses on identifying critical maintainability criteria and determining their weight coefficients using a systematic decision-making method. The goal is to provide a quantitative basis for assessing maintainability in agile development, where no standard models currently exist.</t>
  </si>
  <si>
    <t>**Research Questions:** What are the critical criteria for software maintainability in agile development?; How can the weight coefficients of these criteria be systematically determined?; Can the proposed model provide a reliable estimate of maintainability for agile projects?</t>
  </si>
  <si>
    <t>Perguntas coerentes com o estudo, mas são inferências</t>
  </si>
  <si>
    <t>Correto quanto ao caráter metodológico, mas adiciona “model development”, que não aparece no gabarito.</t>
  </si>
  <si>
    <t>**Methodology:** The study adopts the SWARA (Step-wise Weight Assessment Ratio Analysis) multi-criteria decision-making approach. Four maintainability criteria—user stories, story points, pre-defects, and post-defects—were identified based on prior research and expert input. Experts ranked these criteria, and SWARA was applied to compute weight coefficients. The resulting weights were then used to estimate overall maintainability values for agile projects, providing a structured method for maintainability evaluation.</t>
  </si>
  <si>
    <t>Descreve bem o SWARA e os critérios, mas não menciona a literature review presente no gabarito.</t>
  </si>
  <si>
    <t>**Main Findings:** The SWARA-based model identified pre-defects as the most significant criterion, followed by post-defects, story points, and user stories. The weighted criteria provide a basis for calculating estimated maintainability values in agile projects. The model demonstrates that structured weighting can improve maintainability assessments, offering insights into areas needing more attention during development. It shows that defects—both pre- and post-deployment—are stronger indicators of maintainability compared to effort metrics like story points.</t>
  </si>
  <si>
    <t>**Conclusions:** The proposed model offers a systematic method for estimating maintainability in agile software projects. By using SWARA, it quantifies the relative importance of critical criteria and provides a maintainability value that can guide quality improvements. The research highlights that process quality directly impacts product quality, emphasizing the importance of maintainability in agile environments.</t>
  </si>
  <si>
    <t>Essencialmente correto, mas omite referência explícita aos quatro critérios e inclui a ideia de “process quality impact”, não mencionada no gabarito.</t>
  </si>
  <si>
    <t>**Limitations:** The model considers only four criteria, which may limit the comprehensiveness of the results. Additional factors such as productivity, defect density, and other quality attributes could enhance accuracy if included in future extensions.</t>
  </si>
  <si>
    <t>**Objectives:** The paper aims to propose a mathematical model to calculate the weight coefficients of maintainability criteria within agile software development. Its goal is to provide a systematic, quantitative basis for assessing and prioritizing maintainability factors during agile projects. This supports decision-making in resource allocation and process improvement.</t>
  </si>
  <si>
    <t>O núcleo (modelo para coeficientes de peso) está correto, mas extrapolações sobre “alocação de recursos e melhoria de processos” não aparecem no artigo.</t>
  </si>
  <si>
    <t>**Research Questions:** How can maintainability criteria in agile software development be systematically weighted?; What mathematical model can accurately determine the relative importance of different maintainability factors?</t>
  </si>
  <si>
    <t>A primeira questão é coerente, mas a segunda introduz “modelo matemático” como se fosse o foco da pesquisa, enquanto o artigo especifica SWARA, não “qualquer modelo matemático”.</t>
  </si>
  <si>
    <t>**Study Type:** Theoretical and model development study</t>
  </si>
  <si>
    <t>Reconhece que é estudo teórico e de modelo, o que se aproxima de um estudo metodológico; porém, a formulação diverge um pouco do termo adotado no artigo.</t>
  </si>
  <si>
    <t>**Methodology:** The authors developed a mathematical model using fuzzy logic and pairwise comparison to determine weight coefficients of maintainability criteria. The model integrates expert evaluation data and translates subjective assessments into quantifiable weights. It was tested with sample maintainability factors in agile projects to illustrate its application and reliability.</t>
  </si>
  <si>
    <t>O artigo não usa fuzzy logic nem comparação par-a-par, e os critérios listados pelo aluno não correspondem aos do texto.</t>
  </si>
  <si>
    <t>**Main Findings:** The proposed model effectively transforms expert judgments into consistent weight coefficients for maintainability criteria. It reduces subjectivity by providing a structured, mathematical approach. The case application demonstrated that different maintainability criteria, such as code complexity, documentation, and modularity, can be quantitatively prioritized. The model helps teams focus on the most critical factors influencing maintainability in agile contexts.</t>
  </si>
  <si>
    <t>Os critérios e resultados citados não aparecem no artigo; o texto base não discute complexidade, documentação ou modularidade.</t>
  </si>
  <si>
    <t>**Conclusions:** The study concludes that applying a mathematical model to weight maintainability criteria enhances objectivity and reliability in agile software assessment. The approach supports more informed decision-making and can be integrated into agile project management practices.</t>
  </si>
  <si>
    <t>Reconhece o papel do modelo em dar objetividade, mas inventa efeitos práticos (integração na gestão ágil) não relatados no artigo.</t>
  </si>
  <si>
    <t>**Limitations:** Not explicitly stated; however, reliance on expert input and limited empirical validation suggest constraints in generalizability and practical application across diverse agile projects.</t>
  </si>
  <si>
    <t>O artigo só menciona explicitamente a limitação quanto ao número de critérios; as demais limitações foram inventadas pelo aluno.</t>
  </si>
  <si>
    <t>**Objectives:** The paper aims to propose a model for estimating the maintainability of software products developed in agile environments. It focuses on determining weight coefficients for selected maintainability criteria using a structured decision-making approach. The goal is to enable early and effective assessment of software maintainability and overall product quality.</t>
  </si>
  <si>
    <t>**Research Questions:** How can maintainability of agile software products be systematically estimated; Which criteria are most critical for assessing maintainability in agile environments; How can the weight coefficients of these criteria be determined objectively</t>
  </si>
  <si>
    <t>**Study Type:** Methodological framework with applied decision-making model</t>
  </si>
  <si>
    <t>Apesar de usar palavras diferentes, mantém o mesmo sentido de estudo metodológico.</t>
  </si>
  <si>
    <t>**Methodology:** The authors apply the Step-wise Weight Assessment Ratio Analysis (SWARA), a multi-criteria decision-making approach, to determine weight coefficients of maintainability criteria. Four criteria—user stories, story points, pre-defects, and post-defects—were selected based on expert input. Experts ranked and compared these criteria, and the SWARA procedure was applied step by step to calculate normalized weight coefficients summing to one. These weights can then be used to estimate the maintainability value of agile projects by plugging in actual project data.</t>
  </si>
  <si>
    <t>**Main Findings:** The model provides a structured way to calculate maintainability in agile environments by focusing on four key criteria. Results show that pre-defects have the highest weight, followed by post-defects, story points, and user stories. This ranking highlights the importance of defect-related measures in maintainability evaluation. The SWARA method proved suitable for capturing expert judgments and translating them into quantitative weight coefficients. The proposed model allows practitioners to estimate maintainability early and improve resource allocation for software maintenance.</t>
  </si>
  <si>
    <t>Embora os achados principais estejam corretos, a extrapolação sobre “melhoria na alocação de recursos” não aparece no artigo.</t>
  </si>
  <si>
    <t>**Conclusions:** The study presents a practical model to determine weight coefficients for maintainability criteria in agile software projects using SWARA. It enables estimation of maintainability and supports quality assessment of agile-developed products. However, the model currently considers only four criteria, and future extensions should incorporate more factors to improve accuracy.</t>
  </si>
  <si>
    <t>**Limitations:** The model is limited by the restricted number of maintainability criteria considered (only four). The inclusion of additional criteria such as productivity and defect density could enhance accuracy. Validation is also limited to expert opinion rather than broad empirical testing.</t>
  </si>
  <si>
    <t>Identifica corretamente a principal limitação, mas adiciona outra não citada no artigo.</t>
  </si>
  <si>
    <t>Texto 11</t>
  </si>
  <si>
    <t>**Objectives:** The study aims to investigate how software architecture can be systematically integrated into requirements elicitation to support rapid software development. It seeks to analyze the tools, techniques, and frameworks used for architecture-centric requirement elicitation (ACRE), identify existing gaps, and propose resource models to enhance traceability and adaptability between requirements and architecture.</t>
  </si>
  <si>
    <t>**Research Questions:** How are software architecture and requirements elicitation connected; Can requirements be accommodated in software architecture using modern frameworks and techniques; What are the research, industrial, and academic gaps between architecture and requirements; How can these gaps be bridged using architecture-centric requirement elicitation; What tools, techniques, and approaches exist to support ACRE in practice</t>
  </si>
  <si>
    <t>**Methodology:** The authors conducted a Systematic Literature Review following Petersen et al.'s SLR guidelines. They developed a review protocol including selection/rejection criteria, search strategy, and data extraction and synthesis. From an initial pool, 61 relevant tools, techniques, and frameworks were selected based on subject relevance, recency, publisher credibility, and result orientation. The analysis categorized contributions, identified gaps, and created a taxonomical resource bank of methods, tools, and frameworks for requirements–architecture integration.</t>
  </si>
  <si>
    <t>**Main Findings:** The review identified over 60 tools and techniques that support architecture-centric requirement elicitation, highlighting both strengths and weaknesses. Pre-defining architectural significance and using models such as Twin Peaks, ATAM, and multi-model approaches improves traceability and requirement integration. Significant research gaps persist, especially in handling trade-offs, framing business requirements, and identifying architecturally significant requirements early. The study shows that most existing tools are single-objective and lack quantitative validation, while hybrid and multi-objective approaches remain underutilized. A resource bank was developed to categorize tools and techniques by groups, sub-groups, and functions.</t>
  </si>
  <si>
    <t>**Conclusions:** The paper concludes that integrating requirements and architecture is essential for improving rapid software development. Architecture-centric approaches enhance traceability, reduce complexity, and balance functional and non-functional requirements. However, there remain considerable research gaps and a lack of advanced, hybrid tools to fully bridge requirements and architecture. The authors propose that their resource bank and systematic analysis can guide both practitioners and researchers in selecting appropriate tools and frameworks.</t>
  </si>
  <si>
    <t>**Limitations:** The study is limited by its reliance on existing literature without quantitative validation of the identified tools and frameworks. Most reviewed methods focus on conceptual contributions rather than empirical evidence, and there is a scarcity of advanced hybrid solutions for practical application.</t>
  </si>
  <si>
    <t>OK, os autores não reconhecem limitações em seu estudo, mas sim as lacunas na literatura existente</t>
  </si>
  <si>
    <t>**Objectives:** The study aims to investigate how software architecture can be integrated into requirements elicitation to support rapid software development. It focuses on identifying tools, frameworks, and methods that connect requirements with architecture, reducing gaps and improving traceability. Another objective is to highlight challenges and propose a resource bank of state-of-the-art techniques to guide practitioners and researchers.</t>
  </si>
  <si>
    <t>**Research Questions:** How are software architecture and requirements elicitation connected, and what tools, techniques, and challenges exist?; Can recent frameworks and methods accommodate requirements in software architecture effectively?; What are the research, industrial, and academic gaps between software architecture and requirements?; How can the Architecture-Centric Requirement Elicitation (ACRE) approach bridge these gaps?; How do existing tools, techniques, and frameworks support architecture-centric requirements elicitation?</t>
  </si>
  <si>
    <t>**Methodology:** The authors conducted a systematic literature review following Petersen's guidelines. A review protocol was developed including criteria for selection/rejection, search strategy, and data extraction. Articles from IEEE, Springer, Elsevier, ACM, and Taylor &amp; Francis (2009 onwards) were screened using keywords like 'architecture-centric requirements' and 'requirements impact on architecture.' After applying inclusion/exclusion filters, 61 relevant studies were analyzed. Data extraction captured details about tools, frameworks, research gaps, and application areas. Quality evaluation ensured relevance and contribution to research questions.</t>
  </si>
  <si>
    <t>**Main Findings:** The review identified over 60 tools, techniques, and frameworks linking requirements and software architecture, highlighting significant progress but also persistent gaps. Service-Oriented Architecture, Knowledge-Sharing Architecture, similarity computations, multi-model approaches, and frameworks like TOGAF and Twin Peaks were noted as effective. Architecturally Significant Requirements (ASRs) are critical for bridging requirements and architecture but remain difficult to identify and operationalize. Traceability and quality attributes were found to be essential yet under-addressed. Only a small percentage of hybrid or multi-objective tools exist, indicating an urgent need for more advanced, flexible solutions.</t>
  </si>
  <si>
    <t>**Conclusions:** Integrating software architecture with requirements elicitation improves traceability, reduces development time, and strengthens software quality. ACRE is valuable for bridging research and practice gaps, though it requires skilled practitioners and better tool support. The study concludes that architecture-centric approaches are fundamental to rapid software development, but more advanced hybrid and multi-objective techniques are needed to address current challenges.</t>
  </si>
  <si>
    <t>**Limitations:** The study is limited by its reliance on secondary data from selected peer-reviewed databases. Many identified tools are methodology-centric and lack quantitative validation or large-scale industrial testing. Furthermore, research gaps persist in areas such as ASR identification, trade-off management, and business requirement modelling, which hinder the generalization of findings.</t>
  </si>
  <si>
    <t>Faz uma generalização sobre "testes industriais em larga escala" que não é explicitamente declarada no texto.</t>
  </si>
  <si>
    <t>**Objectives:** The paper aims to investigate how software architecture can be integrated into requirements elicitation to support rapid software development. It seeks to identify tools, techniques, and frameworks that facilitate the connection between architecture and requirements while addressing existing research gaps. Another goal is to propose a resource bank to guide researchers and practitioners in applying architecture-centric approaches effectively.</t>
  </si>
  <si>
    <t>**Research Questions:** How are software architecture and requirements elicitation connected, including their tools, techniques, pros/cons, and challenges?; Is it possible to accommodate requirements in software architecture using recent frameworks, tools, and techniques?; What are the research, industrial, and academic gaps between software architecture and requirements?; How can Architecture-Centric Requirement Elicitation (ACRE) bridge these gaps?; How can requirement elicitation processes be interpreted in the context of architecture-centric approaches?</t>
  </si>
  <si>
    <t>**Methodology:** The authors conducted a systematic literature review following Petersen et al.'s guidelines. A review protocol was established with inclusion and exclusion criteria, focusing on studies from 2009 onward in peer-reviewed venues. From an initial pool, 61 relevant tools, techniques, and frameworks were selected. Data extraction considered parameters such as research problem, contribution, and future work. Studies were synthesized to analyze architectural and requirements-related approaches, and a taxonomical resource bank was created to classify tools and techniques.</t>
  </si>
  <si>
    <t>**Main Findings:** The review identified over 60 tools and techniques supporting architecture-centric requirement elicitation. Architecturally Significant Requirements (ASRs) play a central role in bridging requirements and architecture. Existing methods like ATAM, Twin Peaks, and STREAM-AP were highlighted as effective for aligning requirements and architecture. Research gaps persist in identifying ASRs, addressing trade-offs, and integrating business requirements into architectural models. The study shows that most current tools are single-objective, with limited hybrid or multi-objective approaches. A dendrogram and resource bank were created to guide further research and practice.</t>
  </si>
  <si>
    <t>**Conclusions:** Integrating architecture into requirements elicitation is essential for rapid and high-quality software development. Architecture-centric approaches improve traceability, sustainability, and alignment between requirements and design. However, significant gaps remain, and more advanced tools and multi-objective methods are needed. The resource bank and comparative analysis provided in this study serve as a foundation for researchers and practitioners to improve requirements engineering practices.</t>
  </si>
  <si>
    <t>**Limitations:** The study relies entirely on secondary data from published research and does not include empirical validation through case studies or experiments. The selected tools and frameworks are limited to those published after 2009 in specific publishers, potentially excluding other relevant sources. Quantitative analysis of tool effectiveness was limited, focusing mainly on qualitative synthesis.</t>
  </si>
  <si>
    <t>**Objectives:** The paper aims to explore how software architecture can be integrated into requirements elicitation to support rapid software development. It investigates strategies, tools, and frameworks that enhance traceability, reduce complexity, and improve adaptability. The study also seeks to identify gaps and propose a resource bank to facilitate better requirement engineering practices.</t>
  </si>
  <si>
    <t>**Research Questions:** How are software architecture and requirements elicitation connected, and what tools, techniques, pros/cons, and challenges exist?; Can requirements be accommodated in software architecture using recent frameworks, tools, and techniques?; What research, industrial, and academic gaps exist between architecture and requirements in rapid software development?; How can the Architecture Centric Requirement Elicitation (ACRE) approach bridge the gap between requirements and architecture?; How do current tools and techniques for requirements elicitation relate to architecture-centric approaches?</t>
  </si>
  <si>
    <t>**Methodology:** The authors conducted a systematic literature review using a review protocol adapted from Petersen et al. The process involved developing a protocol, defining inclusion and exclusion criteria, and searching across major databases (IEEE, Elsevier, ACM, Taylor &amp; Francis) for studies from 2009 onward. From this, 61 relevant tools, techniques, and frameworks were identified. Data extraction and synthesis focused on mapping contributions to research questions and categorizing approaches into functional groups, leading to a taxonomical resource bank.</t>
  </si>
  <si>
    <t>**Main Findings:** The study shows that requirements elicitation and architecture are deeply interconnected, with various tools and frameworks supporting integration. Architecturally significant requirements (ASRs) are essential for traceability and adaptability, but remain challenging to identify. Research and industrial gaps exist due to poor trade-off management, difficulty in bridging functional and architectural requirements, and lack of standardized methods. Hybrid approaches (combining heuristic and exact methods) are rare but promising, while most studies rely on single-objective techniques. The paper provides a resource bank with over 60 tools and frameworks, as well as a dendrogram of gaps and challenges.</t>
  </si>
  <si>
    <t>**Conclusions:** Integrating software architecture into requirements elicitation is critical for rapid software development, as it reduces complexity, improves traceability, and ensures quality. The study concludes that existing tools and frameworks can bridge gaps but need standardization, better scalability, and more hybrid approaches. The ACRE framework provides a viable foundation, though further research and tool development are necessary.</t>
  </si>
  <si>
    <t>Embora a IA capture corretamente alguns conceitos gerais, ela inventa necessidades específicas que não são mencionadas no artigo e caracteriza erroneamente o conceito central de ACRE.</t>
  </si>
  <si>
    <t>**Limitations:** The study is limited to literature from 2009 onward and only includes peer-reviewed sources, which may exclude relevant industrial practices. It also emphasizes theoretical frameworks over empirical validation, with limited quantitative evaluation of the proposed tools and approaches.</t>
  </si>
  <si>
    <t>**Objectives:** The paper aims to investigate how software architecture can be integrated into requirements elicitation to support rapid software development. It seeks to explore architecture-centric requirement elicitation (ACRE) approaches, identify tools, techniques, and frameworks that connect requirements with architecture, and highlight research and industrial gaps that affect requirement traceability and efficiency.</t>
  </si>
  <si>
    <t>**Research Questions:** How are software architecture and requirements elicitation connected, and what are the existing tools, techniques, pros and cons, and challenges?; Is it possible to accommodate requirements in software architecture using modern frameworks and tools?; What are the current research, industrial, and academic gaps between software architecture and requirements?; How can the ACRE approach help bridge the gaps between software architecture and requirement elicitation?; How can requirement elicitation processes be interpreted in relation to architecture-centric approaches, tools, and techniques?</t>
  </si>
  <si>
    <t>**Methodology:** The authors conducted a Systematic Literature Review (SLR) following Petersen et al.'s guidelines. They defined review protocols, developed inclusion and exclusion criteria (covering subject relevance, publication quality, recency, and result orientation), and used keyword-based searches in major digital libraries (IEEE, Elsevier, Springer, ACM, Taylor &amp; Francis). From an initial broad set, 61 tools, techniques, and frameworks were selected for detailed analysis. Data extraction considered title, concept, contributions, and gaps, while synthesis involved categorizing findings into relevance, gaps, bridging methods, and tools.</t>
  </si>
  <si>
    <t>**Main Findings:** The review found that software architecture and requirements elicitation are strongly interrelated, with approaches like SOA, TOGAF, and multi-model architectures improving traceability. Architecturally Significant Requirements (ASRs) emerged as key elements for bridging design and architecture, though difficult to identify in practice. Numerous tools (e.g., ATAM, STREAM-AP, ArcheR) support integration, but most focus on single-objective methods rather than hybrid or multi-objective approaches. The study also identified significant gaps, including difficulty in addressing quality requirements early, lack of expertise in recognizing ASRs, and limited support for business modeling and trade-offs. A Taxonomical Resource Bank was created to classify tools and frameworks by relevance to research questions.</t>
  </si>
  <si>
    <t>**Conclusions:** Integrating software architecture into requirements elicitation enhances traceability, reduces complexity, and improves software quality. The study concludes that ACRE approaches and tools provide a structured way to balance requirements and architecture for rapid development. However, research gaps remain, particularly in developing hybrid and multi-objective tools, automating ASR identification, and aligning business requirements with architectural models.</t>
  </si>
  <si>
    <t>**Limitations:** The study relies on existing literature and expert evaluations, with no empirical validation of proposed tools or frameworks. The focus on peer-reviewed sources from 2009 onward may exclude relevant earlier or non-indexed contributions. Generalizability is constrained by the theoretical nature of findings and lack of industrial case studies.</t>
  </si>
  <si>
    <t>Descreve incorretamente a metodologia da pesquisa e faz uma generalização sobre estudos de caso industriais que não é suportada pelo artigo</t>
  </si>
  <si>
    <t>**Objectives:** The paper aims to investigate how software architecture can be effectively integrated into requirements elicitation to improve rapid software development. It seeks to explore tools, frameworks, and methodologies that bridge the gap between architecture and requirements, while identifying research challenges and proposing a taxonomical resource bank for practitioners and researchers.</t>
  </si>
  <si>
    <t>**Research Questions:** How are software architecture and requirements elicitation connected; Can requirements be accommodated in software architecture using recent frameworks, tools, and techniques; What research, industrial, and academic gaps exist between architecture and requirements; How can these gaps be bridged using architecture-centric requirements elicitation (ACRE); What tools, techniques, and processes support architecture-centric requirement elicitation</t>
  </si>
  <si>
    <t>**Methodology:** The authors conducted a Systematic Literature Review following the guidelines of Petersen et al. They defined review protocols, inclusion and exclusion criteria, and searched peer-reviewed databases (IEEE, ACM, Elsevier, Springer, Taylor &amp; Francis) for studies published from 2009 onwards. Out of these, 61 tools, techniques, schemes, and patterns were selected. Data extraction included title, year, contribution, and evaluation, with quality assessment performed through experimental, analytical, and observational parameters. The findings were synthesized into comparative analyses, dendrograms, and a taxonomical resource bank.</t>
  </si>
  <si>
    <t>**Main Findings:** Software architecture and requirements elicitation are strongly interdependent, with architecture providing structure and traceability for requirement specifications. Architecturally Significant Requirements (ASRs) were identified as central to bridging gaps, though their detection and accommodation remain challenging. Tools such as ATAM, AADL, ArcheR, and STREAM-AP showed effectiveness in linking requirements to architecture, but most existing tools are limited to single-objective methods. Research and industrial gaps persist in trade-offs, traceability, business modelling, and ASR identification. The proposed taxonomical resource bank compiles tools, techniques, and frameworks to streamline requirement elicitation with architectural considerations.</t>
  </si>
  <si>
    <t>**Conclusions:** Integrating architecture with requirements elicitation enhances traceability, reduces development complexity, and improves rapid software development. Architecture-centric approaches such as ACRE provide structured methods for balancing functional and non-functional requirements. However, current tools and techniques remain insufficiently advanced, with hybrid and multi-objective approaches needed for future progress.</t>
  </si>
  <si>
    <t>**Limitations:** The study is limited by its reliance on published literature from 2009 onwards, excluding older but potentially relevant contributions. It does not provide empirical validation of proposed models or tools, and the absence of quantitative analysis restricts generalizability. Effectiveness is based largely on secondary evidence rather than direct experimentation.</t>
  </si>
  <si>
    <t>**Objectives:** The paper aims to investigate how software architecture can be integrated into requirements elicitation to support rapid software development. It seeks to identify the relationship between requirements and architecture, explore tools, techniques, and frameworks, and highlight existing research gaps. The objective is to propose strategies that improve traceability, adaptability, and efficiency in requirements engineering.</t>
  </si>
  <si>
    <t>**Research Questions:** How are software architecture and requirements elicitation connected, and what tools, techniques, pros and cons, and domain challenges exist?; Is it possible to accommodate requirements in software architecture using recent frameworks, tools, and techniques?; What are the research, industrial, and academic gaps between software architecture and requirements?; How can Architecture Centric Requirement Elicitation (ACRE) bridge the gaps between software architecture and requirements elicitation?; How can requirement elicitation processes be interpreted in the context of tools, techniques, and architecture-centric approaches?</t>
  </si>
  <si>
    <t xml:space="preserve">**Methodology:** The authors followed the systematic literature review method proposed by Petersen et al. They developed a review protocol with inclusion/exclusion criteria, selection and rejection rules, and keyword-based search strings. Sources included IEEE, ACM, Springer, Elsevier, and Taylor &amp; Francis. From thousands of initial results, 61 relevant studies were selected through staged filtering (titles, abstracts, and detailed study). Data extraction included parameters like problem, solution, contribution, and future work. The analysis synthesized tools, techniques, frameworks, and research gaps, with quality evaluation via multi-loop assessment models.
</t>
  </si>
  <si>
    <t>**Main Findings:** The review identified over 60 tools, techniques, and frameworks relevant to architecture-centric requirements elicitation. Architecturally Significant Requirements (ASRs) play a key role in bridging design and elicitation, supported by approaches like ATAM and Twin Peaks. Service-Oriented Architecture, Knowledge-Sharing Architecture, and multi-model frameworks emerged as strong methods to integrate requirements into architecture. However, gaps persist in research and practice, particularly in identifying ASRs, managing trade-offs, and framing business requirements into models. Hybrid methods combining heuristics and exact techniques were noted as promising but underutilized.</t>
  </si>
  <si>
    <t>**Conclusions:** Software architecture and requirements elicitation are deeply interconnected, and their integration is vital for rapid software development. While existing tools and frameworks show potential, gaps in traceability, scalability, and standardized methodologies remain. The study concludes that bridging these gaps through ACRE approaches, quality-driven frameworks, and targeted tools can improve traceability, reduce complexity, and enhance the efficiency of requirement engineering.</t>
  </si>
  <si>
    <t>Embora a IA capture corretamente a ideia central da integração entre arquitetura e requisitos, ela inventa lacunas específicas que não são mencionadas como conclusões no artigo.</t>
  </si>
  <si>
    <t>**Limitations:** The study is limited by its reliance on published peer-reviewed sources from selected databases, potentially excluding relevant gray literature. Many tools identified are theoretical or early-stage, with limited quantitative validation. The lack of standardized benchmarks and metrics makes comparison of tools challenging.</t>
  </si>
  <si>
    <t>A última frase introduz um conceito que não é mencionado em nenhum lugar do artigo.</t>
  </si>
  <si>
    <t>**Objectives:** The paper aims to explore how integrating software architecture considerations into requirements elicitation can accelerate rapid software development. It seeks to establish a systematic approach that aligns architectural decisions early in the lifecycle with stakeholder requirements to reduce rework and improve quality.</t>
  </si>
  <si>
    <t>Essa parte tá errada: "It seeks to establish a systematic approach"</t>
  </si>
  <si>
    <t>**Research Questions:** How can software architecture be effectively integrated into requirements elicitation; What benefits does this integration bring to rapid software development in terms of speed, quality, and stakeholder satisfaction; What methods or frameworks best support this integration</t>
  </si>
  <si>
    <t>Errado</t>
  </si>
  <si>
    <t>**Study Type:** Conceptual and applied research with illustrative case studies</t>
  </si>
  <si>
    <t>**Methodology:** The authors review existing literature on requirements elicitation and software architecture practices. They propose an integrated framework where architectural viewpoints are introduced during requirements workshops and iterative development cycles. Case examples are provided to illustrate how the integration reduces misalignment and supports rapid development goals.</t>
  </si>
  <si>
    <t xml:space="preserve">O artigo não propõe nada </t>
  </si>
  <si>
    <t>**Main Findings:** Integrating architecture into requirements elicitation ensures better alignment between stakeholder needs and technical feasibility. It reduces design rework during later development stages. The approach improves communication among stakeholders, architects, and developers. The study highlights measurable improvements in development speed and requirement stability when architecture is considered early.</t>
  </si>
  <si>
    <t>O texto da IA apresenta uma série de benefícios genéricos e plausíveis da engenharia de software, mas nenhum deles é apresentado como um achado principal no artigo</t>
  </si>
  <si>
    <t>**Conclusions:** Early integration of software architecture into requirements elicitation enhances rapid software development by aligning requirements with feasible architectural solutions. This improves quality, reduces rework, and supports faster delivery.</t>
  </si>
  <si>
    <t>Introduz um benefício específico "reduz o retrabalho"  que não é mencionado em nenhum lugar do texto original.</t>
  </si>
  <si>
    <t>**Limitations:** The study is based on limited case illustrations and lacks large-scale empirical validation; The approach may require skilled facilitators and could be challenging in highly dynamic or resource-constrained environments.</t>
  </si>
  <si>
    <t>Descreve incorretamente a metodologia da pesquisa e inventa limitações ambientais que não são discutidas no artigo.</t>
  </si>
  <si>
    <t>Texto 12</t>
  </si>
  <si>
    <t xml:space="preserve">**Objectives:** The paper aims to analyze how advances in computer science and technology have driven the development of the Internet of Things (IoT). It explores the relationship between core computing technologies and IoT architecture, while also identifying challenges in implementation and adoption.
</t>
  </si>
  <si>
    <t>Parcial, não menciona new ways that Internet of Things technology can be applied within the field of computer science</t>
  </si>
  <si>
    <t xml:space="preserve">**Research Questions:** What core technologies of computer science are most critical to IoT development; How do computer science and technology provide the foundation for IoT architecture; What societal and organizational factors influence the application of computer science in IoT
</t>
  </si>
  <si>
    <t>**Study Type:** Conceptual and analytical study (conference paper)</t>
  </si>
  <si>
    <t>Incorreto</t>
  </si>
  <si>
    <t>**Methodology:** The authors use a descriptive and analytical approach, reviewing the fundamental concepts of IoT and its three-tier architecture. They examine the role of key technologies such as RFID, sensors, and network communication, supported by flowcharts and structural diagrams. Case-oriented illustrations, such as IoT applications in healthcare, are included to demonstrate practical relevance.</t>
  </si>
  <si>
    <t xml:space="preserve">**Main Findings:** The study finds that computer science provides the technical foundation for IoT through core technologies like RFID, data processing, and communication systems. It emphasizes the importance of a layered IoT architecture (perception, network, and application layers) to ensure scalability and efficiency. The research highlights the medical field as an example where IoT integration enhances organization and effectiveness. It also notes the growing societal recognition of computing professionals as key drivers of IoT adoption.
</t>
  </si>
  <si>
    <t xml:space="preserve">Parcial, menciona a importancia de "computing professionals" e que a fundação de IoT é computer science porém não menciona que progress in CS&amp;T is considered "indispensable" </t>
  </si>
  <si>
    <t xml:space="preserve">**Conclusions:** Computer science and technology are fundamental drivers of IoT, enabling its architecture, functionality, and applications across domains. By strengthening technical integration and valuing computing expertise, IoT can achieve broader and more effective deployment.
</t>
  </si>
  <si>
    <t xml:space="preserve">**Objectives:** The paper analyzes how computer science and technology contribute to the development and advancement of the Internet of Things (IoT). It aims to clarify the foundational role of computing in IoT and examine the technologies and structures supporting IoT applications.
</t>
  </si>
  <si>
    <t xml:space="preserve">**Research Questions:** What is the role of computer science and technology in enabling the development of IoT?; Which core technologies are most critical to IoT applications?; How does the three-tier structure support IoT organization and operation?; What challenges limit the widespread application of computer science in IoT development?
</t>
  </si>
  <si>
    <t>Incorreto, não menciona new ways that Internet of Things technology can be applied within the field of computer science e adiciona a pergunta "Which core technologies are most critical to IoT applications?"</t>
  </si>
  <si>
    <t xml:space="preserve">
**Study Type:** Conceptual and analytical study
</t>
  </si>
  <si>
    <t xml:space="preserve">**Methodology:** The authors review the concept of IoT and analyze its dependence on computer science technologies. They examine core technologies such as RFID and the three-tier IoT architecture (perception, network, and application layers). Diagrams and case-based explanations, including healthcare models, are used to illustrate the integration of computer science with IoT.
</t>
  </si>
  <si>
    <t xml:space="preserve">**Main Findings:** Computer science provides the essential foundation for IoT development, especially through data collection, transmission, and processing. Core technologies like RFID and layered architectures are critical to IoT stability and scalability. The three-tier structure organizes IoT systems effectively, and healthcare applications show clear benefits. Societal recognition of technical personnel also supports IoT growth.
</t>
  </si>
  <si>
    <t xml:space="preserve">**Conclusions:** The integration of computer science and technology is fundamental to IoT advancement. While structured architectures and core technologies enable progress, challenges remain in adoption, workforce availability, and scalability.
</t>
  </si>
  <si>
    <t>Correto, e adiciona desafios</t>
  </si>
  <si>
    <t>**Objectives:** The paper aims to examine how advances in computer science and technology promote and support the development of the Internet of Things (IoT). It focuses on the foundational role of computer technologies, core enabling tools, and the structural organization of IoT systems.</t>
  </si>
  <si>
    <t>**Research Questions:** What is the role of computer science and technology in enabling IoT development; Which core technologies of computer science most significantly contribute to IoT; How does the three-tier IoT structure benefit from advances in computer science</t>
  </si>
  <si>
    <t>Parcial, não menciona new ways that Internet of Things technology can be applied within the field of computer science e adiciona a pergunta "Which core technologies  most significantly contribute to IoT?"</t>
  </si>
  <si>
    <t xml:space="preserve">**Study Type:** Conceptual and analytical study
</t>
  </si>
  <si>
    <t>**Methodology:** The study uses conceptual analysis to define IoT technology, outline its core technical foundations, and explain its structural model. It discusses RFID, data processing, networking, and software systems as key enablers. The authors analyze IoT's three-tier structure (perception layer, network layer, application layer) and illustrate applications through diagrams, including in medical systems.</t>
  </si>
  <si>
    <t>Parcial, nao menciona o embasamento e a sintetização de outros trabalhos</t>
  </si>
  <si>
    <t xml:space="preserve">**Main Findings:** Computer science and technology form the foundation of IoT, providing the computational, networking, and data management capabilities necessary for growth. Core technologies such as RFID, sensors, cloud computing, and big data are central to IoT functionality. The three-tier structure ensures organized communication and effective integration of hardware and software. Application examples, such as medical IoT systems, highlight how computer science drives practical and societal benefits.
</t>
  </si>
  <si>
    <t>Parcial, não menciona que progress in CS&amp;T makes the development of IoT "simpler and faster"</t>
  </si>
  <si>
    <t xml:space="preserve">**Conclusions:** The study concludes that IoT development is inseparable from advances in computer science and technology. As these technologies evolve, IoT becomes more structured, scalable, and impactful across sectors such as healthcare and industry.
</t>
  </si>
  <si>
    <t xml:space="preserve">**Objectives:** The paper aims to analyze how computer science and related technologies drive and support the development of the Internet of Things (IoT). It focuses on explaining the core technologies, architectural structures, and practical applications of IoT while highlighting the contribution of computer science to its growth.
</t>
  </si>
  <si>
    <t xml:space="preserve">**Research Questions:** What is the conceptual foundation of IoT technology?; Which core computer science technologies play a role in the development of IoT?; How does the three-tier structure of IoT illustrate the integration of computer science?; What challenges and opportunities exist in the application of computer science to IoT development?
</t>
  </si>
  <si>
    <t>Incorreto não menciona new ways that Internet of Things technology can be applied within the field of computer science e adiciona a pergunta "Which core technologies  most significantly contribute to IoT?"</t>
  </si>
  <si>
    <t xml:space="preserve">**Methodology:** The study adopts a literature-based and conceptual analysis approach. It reviews IoT concepts, examines core technologies such as RFID, sensors, and software systems, and discusses the standard three-tier architecture (perception, network, application layers). It also analyzes practical applications, including medical IoT systems, to illustrate the role of computer science in driving IoT development.
</t>
  </si>
  <si>
    <t xml:space="preserve">**Main Findings:** Computer science provides the foundation for IoT by enabling data collection, transmission, and processing. Core technologies like RFID, sensor networks, and software systems are essential for IoT implementation. The three-tier IoT architecture demonstrates how perception, network, and application layers interact to achieve functionality. Applications in sectors such as healthcare highlight the societal value of integrating computer science with IoT. However, challenges remain in ensuring widespread adoption and optimizing efficiency.
</t>
  </si>
  <si>
    <t xml:space="preserve">Parcial, menciona que a fundação de IoT é computer science porém não menciona que progress in CS&amp;T is considered "indispensable" </t>
  </si>
  <si>
    <t xml:space="preserve">**Conclusions:** Computer science and technology play a fundamental driving role in the development of IoT, offering both the technical foundation and practical pathways for its applications. While IoT systems are increasingly organized and applied in sectors such as healthcare, broader adoption and optimization are still necessary.
</t>
  </si>
  <si>
    <t xml:space="preserve">**Limitations:** Not explicitly stated. The paper mainly provides conceptual and structural analysis without empirical data or quantitative validation.
</t>
  </si>
  <si>
    <t>Parcial, o GPT 5 reconhece que não tem limitações explicitamente especificadas, porém oferece limitações</t>
  </si>
  <si>
    <t xml:space="preserve">**Objectives:** The paper aims to explore how computer science and technology promote the development of the Internet of Things (IoT). It emphasizes the foundational role of computing technologies in enabling IoT applications and improving their efficiency and organization.
</t>
  </si>
  <si>
    <t xml:space="preserve">**Research Questions:** What core technologies of computer science drive the development of the Internet of Things; How does the three-tier structure support IoT systems; What role do computing professionals and societal recognition play in advancing IoT
</t>
  </si>
  <si>
    <t>Incorreto, não menciona new ways that Internet of Things technology can be applied within the field of computer science e adiciona a pergunta "Which core technologies  of computer science drive the development of IoT?" e "What role do computing professionals and societal recognition plaiy in advancing IoT</t>
  </si>
  <si>
    <t>**Study Type:** Conceptual and analytical study presented at a conference</t>
  </si>
  <si>
    <t xml:space="preserve">**Methodology:** The study reviews the core technologies behind IoT, including RFID and software systems, and discusses their contributions to IoT growth. It analyzes the IoT three-tier structure (perception, network, and application layers) to demonstrate how computing underpins IoT architecture. Case illustrations, such as medical IoT systems, are used to contextualize the discussion. The approach is qualitative and descriptive, focusing on technological and organizational analysis.
</t>
  </si>
  <si>
    <t xml:space="preserve">**Main Findings:** Computer science provides the essential technical foundation for IoT, especially through core technologies like RFID, data processing, and networking. The three-tier IoT structure illustrates how computing enables organization and integration across different application domains. The paper highlights the societal value placed on computing professionals as a factor in driving IoT development. IoT applications, such as in medical systems, showcase how these technologies are applied to improve system efficiency and service quality.
</t>
  </si>
  <si>
    <t xml:space="preserve">**Conclusions:** Computer science and technology play a decisive role in promoting IoT development by laying its technical foundations, organizing its layered structure, and driving practical applications. The synergy between computing technologies and IoT fosters better integration and innovation.
</t>
  </si>
  <si>
    <t xml:space="preserve">**Objectives:** The study aims to analyze how computer science and technology contribute to the advancement of the Internet of Things (IoT). It focuses on identifying the core technologies, layered architectures, and societal impacts that enable IoT's growth. The objective is to clarify the foundational role of computing in shaping IoT systems and applications.
</t>
  </si>
  <si>
    <t xml:space="preserve">**Research Questions:** What are the core technologies from computer science that drive the development of IoT?; How does the three-tier structure of IoT reflect the contribution of computer science and technology?; In what ways do societal valuation of technical personnel and limited dissemination of computing affect IoT development?
</t>
  </si>
  <si>
    <t>Incorreto não menciona new ways that Internet of Things technology can be applied within the field of computer science e adiciona a pergunta "Which core technologies  of computer science drive the development of IoT?" e "What role do computing professionals and societal recognition plaiy in advancing IoT</t>
  </si>
  <si>
    <t>**Study Type:** Conceptual/Analytical Study (conference paper)</t>
  </si>
  <si>
    <t xml:space="preserve">**Methodology:** The paper employs conceptual analysis by reviewing IoT concepts, layered structures, and core computing technologies such as RFID, networking, and software systems. It discusses their applications through illustrative diagrams and flowcharts (e.g., RFID flow, three-tier IoT architecture, IoT medical system model). The study frames its arguments around the interdependence of computing foundations and IoT development rather than empirical experiments.
</t>
  </si>
  <si>
    <t xml:space="preserve">**Main Findings:** Computer science provides essential foundations for IoT through technologies like RFID, networking, and software systems. The three-tier structure (perception, network, and application layers) demonstrates how computing organizes IoT functionality. Practical applications, such as IoT in healthcare systems, show improved organization and efficiency. The study also highlights societal factors: while technical expertise is valued, the limited dissemination of computer science and technology constrains broader IoT adoption.
</t>
  </si>
  <si>
    <t xml:space="preserve">**Conclusions:** Computer science and technology are fundamental drivers of IoT development, providing structural, technical, and organizational support. However, broader dissemination of computing knowledge and more widespread adoption of related technologies are necessary to maximize IoT's societal benefits.
</t>
  </si>
  <si>
    <t>**Limitations:** Not explicitly stated. The paper is largely conceptual and lacks detailed empirical validation or quantitative evaluation.</t>
  </si>
  <si>
    <t>Texto 13</t>
  </si>
  <si>
    <t>**Objectives:** This study investigates how AI-powered green training and development affect employee environmental knowledge and behavior in SMEs. It examines three dimensions of AI training—personalized learning, gamification and simulation, and knowledge assessment and feedback—using the Theory of Planned Behavior as a framework.</t>
  </si>
  <si>
    <t>**Research Questions:** How does AI-powered personalized learning influence employee green knowledge and behavior; How do gamification and simulation in AI-powered training impact employee green knowledge and behavior; How do knowledge assessment and feedback influence employee green knowledge and behavior; Does employee green knowledge mediate the relationship between AI-powered training and green behavior</t>
  </si>
  <si>
    <t>**Study Type:** Quantitative empirical study (survey-based with structural equation modeling)</t>
  </si>
  <si>
    <t>Identifica corretamente que é survey, mas adiciona "quantitative empirical study" e detalha SEM. Não está incorreto, mas extrapola o esperado.</t>
  </si>
  <si>
    <t>**Methodology:** The study applied a survey methodology to collect data from SMEs in Pakistan. Out of 530 distributed questionnaires, 315 valid responses were analyzed. Constructs measured included AI-powered training dimensions, employee green knowledge, and green behavior using a five-point Likert scale. Data analysis was performed using PLS-SEM, assessing reliability, validity, and testing mediation effects through bootstrapping with 5,000 resamples.</t>
  </si>
  <si>
    <t>**Main Findings:** All three dimensions of AI-powered training positively and significantly impacted employee green knowledge and green behavior. Employee green knowledge itself had a strong positive effect on green behavior. Mediation analysis showed that green knowledge partially mediated the relationship between AI-powered training dimensions and green behavior. Gamification and simulation, along with knowledge assessment and feedback, had particularly strong effects compared to personalized learning.</t>
  </si>
  <si>
    <t>Está alinhado, mas adiciona comparação de intensidade dos efeitos (“gamification and feedback stronger”), o que não está no gabarito (embora exista nos resultados estatísticos do artigo).</t>
  </si>
  <si>
    <t>**Conclusions:** AI-powered training and development significantly enhance employee green knowledge and behavior, supporting the Theory of Planned Behavior. A multifaceted approach that integrates personalization, gamification, and continuous assessment is most effective in cultivating a sustainable workforce. The findings suggest that AI is a powerful tool for embedding environmental awareness and practices into organizational culture.</t>
  </si>
  <si>
    <t>Está correto no geral, mas não menciona a questão da aplicabilidade global além do contexto do Paquistão, que o gabarito traz como ponto chave.</t>
  </si>
  <si>
    <t>**Limitations:** The study was limited to SMEs in Pakistan, which may restrict generalizability to other contexts. The use of self-reported data introduces potential social desirability bias. Broader and more diverse samples, along with objective behavioral indicators, are recommended for future research.</t>
  </si>
  <si>
    <t>**Objectives:** The study examines how AI-powered green training and development initiatives influence employees' environmental knowledge and their subsequent green behavior in organizations. It aims to evaluate the effects of personalized learning, gamification and simulation, and knowledge assessment and feedback on fostering sustainable practices among employees.</t>
  </si>
  <si>
    <t>**Research Questions:** How does AI-powered personalized learning impact employee green knowledge and behavior?; How does AI-powered gamification and simulation impact employee green knowledge and behavior?; How does AI-powered knowledge assessment and feedback impact employee green knowledge and behavior?; Does employee green knowledge mediate the relationship between AI-powered green training dimensions and employee green behavior?</t>
  </si>
  <si>
    <t>**Study Type:** Quantitative survey-based empirical study</t>
  </si>
  <si>
    <t>Acertou survey, mas adicionou rótulos extras que não estavam no gabarito (embora corretos no artigo).</t>
  </si>
  <si>
    <t>**Methodology:** Data was collected from 530 distributed questionnaires sent to SME employees in Pakistan, with 315 valid responses retained for analysis. A structured questionnaire based on prior validated measures was used, employing a five-point Likert scale. Partial Least Squares Structural Equation Modeling (PLS-SEM) was applied to test hypotheses, assess measurement reliability and validity, and analyze mediation effects. Statistical techniques included composite reliability, Cronbach's alpha, AVE, discriminant validity tests, and bootstrapping with 5,000 resamples.</t>
  </si>
  <si>
    <t>**Main Findings:** All three AI-powered training dimensions—personalized learning, gamification &amp; simulation, and knowledge assessment &amp; feedback—significantly improved employee green knowledge and behavior. Employee green knowledge was found to significantly mediate the relationship between AI-powered training and green behavior. Gamification and simulation enhanced engagement and motivation, while knowledge assessment and feedback reinforced learning and behavior change. Personalized learning showed strong positive effects by tailoring content to individual needs. Overall, AI-powered training approaches were shown to promote pro-environmental behavior in SMEs.</t>
  </si>
  <si>
    <t>Inclui detalhes extras interpretativos (“gamification enhanced engagement”) que não constam no gabarito oficial, mas estão no artigo.</t>
  </si>
  <si>
    <t>**Conclusions:** AI-powered training and development represent an effective strategy for fostering green knowledge and behavior among employees. A multi-faceted approach using personalization, gamification, and continuous feedback maximizes effectiveness. The study emphasizes that AI can reshape organizational sustainability efforts by cultivating an environmentally aware workforce, with implications that extend beyond Pakistan to global contexts.</t>
  </si>
  <si>
    <t>**Limitations:** The study was limited to SMEs in Pakistan, restricting generalizability to other contexts. It relied on self-reported survey data, which may introduce social desirability bias. The use of convenience sampling further limits representativeness. Future research should involve diverse organizational contexts, include objective behavioral measures, and explore moderating factors such as organizational culture.</t>
  </si>
  <si>
    <t>**Objectives:** The study aims to investigate how AI-powered green training and development initiatives—specifically personalized learning, gamification and simulation, and knowledge assessment and feedback—affect employee environmental knowledge and green behavior in organizations. It seeks to assess the mediating role of employee environmental knowledge in strengthening these relationships and provide insights for organizations integrating AI into sustainability initiatives.</t>
  </si>
  <si>
    <t>**Research Questions:** How do AI-powered personalized learning, gamification and simulation, and knowledge assessment and feedback affect employee green knowledge and green behavior?; Does employee green knowledge mediate the relationship between AI-powered training dimensions and green behavior?</t>
  </si>
  <si>
    <t>**Study Type:** Quantitative empirical study using survey-based Structural Equation Modeling (SEM)</t>
  </si>
  <si>
    <t>Corretamente identifica survey, mas adiciona SEM como tipo de estudo, extrapolando.</t>
  </si>
  <si>
    <t>**Methodology:** The researchers collected data through an online survey distributed to 530 SMEs in Pakistan, receiving 348 responses, with 315 valid after data cleaning. Measurement items were adapted from established studies and assessed using a five-point Likert scale. Reliability and validity tests were performed using Cronbach's alpha, composite reliability, and AVE. Data were analyzed using Partial Least Squares Structural Equation Modeling (PLS-SEM) with a two-step approach, including bootstrapping for hypothesis testing.</t>
  </si>
  <si>
    <t>**Main Findings:** All three AI-powered green training dimensions—personalized learning, gamification and simulation, and knowledge assessment and feedback—positively and significantly influenced both employee green knowledge and employee green behavior. Employee green knowledge also significantly enhanced green behavior and mediated the relationship between AI-powered training and behavior. Gamification and simulation showed strong positive effects, highlighting the role of interactive and immersive learning. Knowledge assessment and feedback emphasized the importance of ongoing evaluation and reinforcement.</t>
  </si>
  <si>
    <t>Acrescenta nuances comparativas de intensidade (“gamification strong”), que não estão no gabarito oficial (mas estão no artigo).</t>
  </si>
  <si>
    <t>**Conclusions:** AI-powered green training and development significantly enhance employee environmental knowledge and foster green behavior, confirming the Theory of Planned Behavior. A multifaceted training approach leveraging personalization, gamification, and continuous feedback is most effective in cultivating a sustainable workforce. The study provides organizations with evidence to strategically implement AI-driven initiatives to achieve sustainability goals.</t>
  </si>
  <si>
    <t>Corretamente fala de multifacetada e TPB, mas não inclui explicitamente a aplicabilidade global, que é ponto central no gabarito.</t>
  </si>
  <si>
    <t>**Limitations:** The study was limited to SMEs in Pakistan, which may reduce generalizability. Convenience sampling may introduce selection bias, and reliance on self-reported data risks social desirability bias. Future research should include diverse contexts, objective behavioral measures, and explore moderating organizational factors.</t>
  </si>
  <si>
    <t>**Objectives:** The study investigates how AI-powered green training and development influence employees' environmental knowledge and subsequent green behavior within organizations. It focuses on three AI-driven training dimensions—personalized learning, gamification and simulation, and knowledge assessment and feedback—grounded in the Theory of Planned Behavior. The goal is to provide insights into how AI can foster sustainability practices in small and medium-sized enterprises (SMEs).</t>
  </si>
  <si>
    <t>**Research Questions:** How does AI-powered personalized learning impact employee green knowledge and behavior; How do AI-powered gamification and simulation affect employee green knowledge and behavior; How do AI-powered knowledge assessment and feedback influence employee green knowledge and behavior; Does employee green knowledge mediate the relationship between AI-powered training and employee green behavior</t>
  </si>
  <si>
    <t>**Study Type:** Quantitative empirical study using survey-based structural equation modeling.</t>
  </si>
  <si>
    <t>Parcialmente correta (extrapola com detalhes)</t>
  </si>
  <si>
    <t>**Methodology:** Data were collected from 530 disseminated questionnaires to SMEs in Pakistan, with 315 valid responses analyzed. Measurement items were adapted from prior validated studies, using a five-point Likert scale. The study applied PLS-SEM with a two-step modeling approach, assessing measurement reliability and validity through factor loadings, composite reliability, Cronbach's alpha, and AVE. Hypotheses were tested using bootstrapping with 5,000 resamples to assess direct and mediated effects.</t>
  </si>
  <si>
    <t>**Main Findings:** AI-powered personalized learning, gamification and simulation, and knowledge assessment and feedback all significantly enhance employee green knowledge and behavior. Employee environmental knowledge was found to positively mediate the relationship between AI-powered training methods and green behavior. Gamification and simulation proved particularly effective in fostering interactive and immersive learning experiences. Knowledge assessment and feedback emphasized the role of continuous evaluation in reinforcing sustainability practices. The findings confirm that AI-driven training leads to more engaged, environmentally conscious employees.</t>
  </si>
  <si>
    <t>Parcialmente correta (adiciona nuances interpretativas não no gabarito)</t>
  </si>
  <si>
    <t>**Conclusions:** AI has transformative potential in reshaping organizational green training and development. A multifaceted AI-powered training approach can build employee environmental awareness and foster pro-environmental behavior. Although focused on Pakistani SMEs, the study's implications extend globally, offering organizations a framework for leveraging AI in sustainability initiatives.</t>
  </si>
  <si>
    <t>**Limitations:** The study is limited by its reliance on convenience sampling and the specific context of SMEs in Pakistan, which restricts generalizability. Self-reported data may introduce social desirability bias. The authors suggest future studies use more diverse samples, integrate objective behavioral indicators, and explore additional human and organizational factors.</t>
  </si>
  <si>
    <t>**Objectives:** The study investigates how AI-powered green training and development initiatives influence employees' environmental knowledge and subsequent green behavior in organizations. It focuses on three dimensions of AI-powered training—personalized learning, gamification and simulation, and knowledge assessment and feedback—within the context of SMEs in Pakistan.</t>
  </si>
  <si>
    <t>**Research Questions:** How does AI-powered personalized learning affect employee green knowledge and behavior?; How does AI-powered gamification and simulation affect employee green knowledge and behavior?; How does AI-powered knowledge assessment and feedback affect employee green knowledge and behavior?; Does employee green knowledge mediate the relationship between AI-powered green training and employee green behavior?</t>
  </si>
  <si>
    <t>**Study Type:** Quantitative empirical study using survey-based data and structural equation modeling</t>
  </si>
  <si>
    <t>Parcialmente correta (extrapola).</t>
  </si>
  <si>
    <t>**Methodology:** The researchers distributed 530 online questionnaires to SME managers in Pakistan, achieving 348 responses and a final valid sample of 315 after data cleaning. Measurement items were adapted from prior validated studies and rated on a five-point Likert scale. The study employed PLS-SEM (Partial Least Squares Structural Equation Modeling) to test hypotheses, assess measurement reliability and validity, and analyze mediation effects of employee green knowledge.</t>
  </si>
  <si>
    <t>**Main Findings:** All three AI-powered training dimensions—personalized learning, gamification and simulation, and knowledge assessment and feedback—positively and significantly influenced employee environmental knowledge and green behavior. Employee green knowledge itself had a significant positive effect on green behavior. Mediation analysis showed that green knowledge partially mediated the relationship between AI-powered training and green behavior. The results highlight that multimodal AI-driven approaches improve engagement, retention, and application of sustainable practices.</t>
  </si>
  <si>
    <t>Parcialmente correta (acrescenta engajamento/retention não no gabarito)</t>
  </si>
  <si>
    <t>**Conclusions:** AI-powered green training can significantly enhance both employee environmental knowledge and sustainable behavior in organizations. A multifaceted training approach that integrates personalization, gamification, and feedback maximizes impact, providing organizations with a pathway to foster environmentally responsible workforces. The study emphasizes the role of AI as a transformative tool for advancing sustainability goals in corporate contexts.</t>
  </si>
  <si>
    <t>Parcialmente correta (não menciona explicitamente aplicabilidade global)</t>
  </si>
  <si>
    <t>**Limitations:** The study is limited by its focus on SMEs in Pakistan, which may affect the generalizability of findings to other contexts. It also relied on self-reported survey data, which may be subject to social desirability bias. Broader and more diverse samples, along with objective behavioral indicators, are recommended for future research.</t>
  </si>
  <si>
    <t>**Objectives:** The study investigates how AI-powered green training and development—through personalized learning, gamification and simulation, and knowledge assessment and feedback—affects employee environmental knowledge and green behavior. It aims to provide empirical evidence on AI's role in fostering sustainability in organizations, particularly in SMEs in Pakistan.</t>
  </si>
  <si>
    <t>**Research Questions:** How does AI-powered personalized learning influence employee green knowledge and behavior; How do AI-powered gamification and simulation influence employee green knowledge and behavior; How do AI-powered knowledge assessment and feedback influence employee green knowledge and behavior; Does employee green knowledge mediate the relationship between AI-powered green development dimensions and employee green behavior</t>
  </si>
  <si>
    <t>**Study Type:** Quantitative empirical study using survey-based structural equation modeling</t>
  </si>
  <si>
    <t>**Methodology:** Data were collected through questionnaires distributed to SMEs in Pakistan, with 530 sent and 315 valid responses analyzed. Measurement items were adapted from prior validated studies and assessed on a five-point Likert scale. The study employed PLS-SEM with bootstrapping to test reliability, validity, and hypothesized relationships. Mediation effects were also examined to evaluate the role of green knowledge between AI-powered training and employee green behavior.</t>
  </si>
  <si>
    <t>**Main Findings:** All three AI-powered green training dimensions significantly enhanced employee green knowledge and behavior. Employee green knowledge was found to positively mediate the relationship between AI-powered training and behavior. Among the factors, knowledge assessment and feedback had the strongest impact on green behavior, while gamification and personalized learning also showed significant effects. The results validate the Theory of Planned Behavior in the context of AI-driven sustainability initiatives.</t>
  </si>
  <si>
    <t>Parcialmente correta (traz detalhe comparativo não presente no gabarito).</t>
  </si>
  <si>
    <t>**Conclusions:** AI-powered green training significantly improves employees' environmental knowledge and green behavior, reinforcing sustainability practices within organizations. A multimodal training approach combining personalization, gamification, and feedback is most effective for cultivating a sustainable workforce. The findings highlight AI's transformative potential in green HRM practices with implications beyond Pakistan.</t>
  </si>
  <si>
    <t>**Limitations:** The study is limited to SMEs in Pakistan, restricting generalizability to other contexts. The use of convenience sampling and self-reported data introduces potential social desirability bias. Broader and more diverse samples with objective behavioral indicators are recommended for future research.</t>
  </si>
  <si>
    <t>**Objectives:** The paper aims to explore how AI-powered green development initiatives affect employee green behavior in organizational settings. It seeks to understand the mechanisms through which AI-driven sustainability practices can encourage environmentally responsible actions among employees.</t>
  </si>
  <si>
    <t>Generaliza para “green development initiatives” e não foca no recorte de treinamento em SMEs.</t>
  </si>
  <si>
    <t>**Research Questions:** How does AI-powered green development influence employee green behavior; What organizational factors mediate or moderate this relationship; How can companies leverage AI-driven sustainability to enhance employee engagement with green practices</t>
  </si>
  <si>
    <t>**Study Type:** Empirical quantitative study</t>
  </si>
  <si>
    <t>Correto em essência, mas genérico e sem indicar que o survey foi em SMEs do Paquistão.</t>
  </si>
  <si>
    <t>**Methodology:** The study employs a survey-based quantitative research design, collecting data from employees across organizations implementing AI-powered green initiatives. Statistical analyses, including structural equation modeling, are used to test the relationships between AI-powered development, organizational factors, and employee green behavior. The approach ensures both measurement reliability and validity.</t>
  </si>
  <si>
    <t>Altera o universo pesquisado (organizações em geral em vez de SMEs do Paquistão) e omite dados-chave.</t>
  </si>
  <si>
    <t>**Main Findings:** The results indicate that AI-powered green development positively influences employee green behavior. Organizational support and culture are found to mediate this relationship, strengthening the effect of AI initiatives on employee actions. Employees perceive AI-driven sustainability as credible and effective, which enhances their willingness to adopt eco-friendly practices. The study also reveals that leadership commitment amplifies the impact.</t>
  </si>
  <si>
    <t>Substitui a variável mediadora central (green knowledge) por fatores organizacionais não estudados.</t>
  </si>
  <si>
    <t>**Conclusions:** AI-powered green development can serve as a catalyst for promoting sustainable employee behaviors. When supported by organizational culture and leadership, AI-driven initiatives effectively translate into tangible eco-friendly actions among employees.</t>
  </si>
  <si>
    <t>Desvia da conclusão original, adicionando elementos não presentes (liderança, cultura).</t>
  </si>
  <si>
    <t>**Limitations:** The study is limited by its reliance on self-reported survey data, which may introduce bias. The sample is restricted to a few organizations, limiting generalizability across industries and regions.</t>
  </si>
  <si>
    <t>Acerta viés de autorrelato, mas erra no contexto da amostra (fala em “algumas organizações” em vez de SMEs no Paquistão).</t>
  </si>
  <si>
    <t>**Objectives:** The paper aims to examine how AI-powered green development initiatives affect employees' environmentally friendly behaviors in organizations. It seeks to clarify the mechanisms through which AI technologies designed for sustainability shape individual attitudes and actions at the workplace.</t>
  </si>
  <si>
    <t>**Research Questions:** How does AI-powered green development influence employee green behavior; What organizational or psychological mechanisms mediate this relationship; What implications does this have for sustainable management practices</t>
  </si>
  <si>
    <t>**Study Type:** Empirical study with quantitative analysis</t>
  </si>
  <si>
    <t>**Methodology:** The study collected data from employees in organizations implementing AI-based green development initiatives. Surveys were used to measure perceptions of AI-driven sustainability practices and their effect on green behavior. Statistical analysis, including regression modeling, was applied to test relationships between variables and evaluate mediating factors.</t>
  </si>
  <si>
    <t>Resposta não menciona fatos importantes numeros importantes como 530 questionarios, pesquisa feita em SMEs do Paquistão, uso do modelo PLS-SEM</t>
  </si>
  <si>
    <t>**Main Findings:** AI-powered green development initiatives significantly encourage employees to adopt greener behaviors. Employees exposed to such initiatives reported stronger environmental awareness and engagement in sustainable practices. The study found mediating effects of organizational culture and employee perceptions of corporate social responsibility. Results demonstrate that technology-driven sustainability can reinforce individual pro-environmental actions.</t>
  </si>
  <si>
    <t>**Conclusions:** AI-driven green initiatives positively impact employee green behavior by fostering environmental awareness and aligning individual actions with organizational sustainability goals. Such integration enhances overall sustainability outcomes.</t>
  </si>
  <si>
    <t>parcialmente correta (não menciona abordagem multi facetada)</t>
  </si>
  <si>
    <t>**Limitations:** The research was limited to specific organizational contexts and may not generalize across industries or cultural settings; Reliance on self-reported survey data may introduce bias.</t>
  </si>
  <si>
    <t>Few</t>
  </si>
  <si>
    <t>**Objectives:** The paper aims to evaluate the current state of AI-assisted literature review tools, comparing established machine learning methods with emerging approaches such as large language models (LLMs), knowledge augmentation, and agentic frameworks. It seeks to highlight both the advantages and limitations of these technologies and provide insights into their potential future roles in academic research.</t>
  </si>
  <si>
    <t>**Research Questions:** What are the current AI-assisted tools used for literature reviews and their limitations?; How are emerging approaches such as large language models, knowledge augmentation, and agentic frameworks improving the literature review process?; What challenges and opportunities remain for integrating AI into academic research practices?</t>
  </si>
  <si>
    <t>omite explicitamente a 
parte sobre futuras direções, 
presente no gabarito.</t>
  </si>
  <si>
    <t>**Study Type:** narrative review</t>
  </si>
  <si>
    <t xml:space="preserve">**Methodology:** The authors conducted a structured review of existing literature and AI tools related to automating the literature review process. They analyzed traditional machine learning-based systems, surveyed LLM-powered methods, and examined knowledge-augmented and agentic frameworks. Comparative analysis of existing tools (e.g., LitSuggest, Research Screener, Scite, Elicit) was presented alongside identified limitations and open issues.
</t>
  </si>
  <si>
    <t>**Main Findings:** Current AI-assisted tools such as LitSuggest and Research Screener streamline parts of the review process but remain limited in scope and accuracy. Emerging LLM-based tools show superior performance in handling complex queries, summarization, and citation classification but suffer from hallucinations and dependency on specific databases. Knowledge augmentation techniques enhance LLM reliability by integrating external structured sources, while agentic frameworks introduce adaptability and autonomous decision-making, further improving performance. Despite progress, gaps remain in up-to-date knowledge access, diagram generation, and idea suggestion features.</t>
  </si>
  <si>
    <t>Acerta pontos centrais, 
mas não traz 
escalabilidade/curadoria 
e questões éticas como 
no gabarito.</t>
  </si>
  <si>
    <t>**Conclusions:** AI-assisted literature review tools significantly improve efficiency and productivity, but reliability challenges persist. The combination of knowledge-augmented LLMs and agentic frameworks appears especially promising for future advancements in automating academic literature reviews.</t>
  </si>
  <si>
    <t>**Limitations:** The study is based on secondary analysis of existing tools and frameworks rather than empirical testing; potential bias from tool selection and literature coverage is not explicitly addressed.</t>
  </si>
  <si>
    <t>inventa limitações 
metodológicas 
que não estão 
no gabarito.</t>
  </si>
  <si>
    <t>**Objectives:** The paper aims to explore how artificial intelligence, particularly large language models (LLMs), is being used to automate and enhance literature reviews. It seeks to identify current tools, evaluate emerging approaches like knowledge augmentation and agentic frameworks, and analyze their advantages, limitations, and future potential.</t>
  </si>
  <si>
    <t>**Research Questions:** What are the current AI-assisted methods for literature reviews?; How are emerging approaches such as LLMs, knowledge augmentation, and agentic frameworks being applied?; What benefits and limitations do these approaches present?; What are the future directions for AI in automating literature reviews?</t>
  </si>
  <si>
    <t>**Methodology:** The authors conducted a structured survey of existing AI-assisted literature review tools and emerging systems. They examined traditional machine learning approaches (e.g., LitSuggest, Research Screener, Dextr) and newer LLM-based systems (e.g., Scite, Elicit), discussing their mechanisms, capabilities, and shortcomings. They also reviewed recent research frameworks for knowledge augmentation (e.g., KALA, KAPING, KAG) and agentic models (e.g., ACN, KnowAgent, DyLAN), providing a comparative discussion of their applicability to literature review tasks.</t>
  </si>
  <si>
    <t>**Main Findings:** Traditional AI tools like LitSuggest and Research Screener improve efficiency but remain limited to abstracts or narrow domains. LLM-based systems offer stronger contextual understanding and broader applications but face challenges such as hallucinations and reliance on limited databases. Knowledge augmentation approaches enhance reliability by integrating external sources but are constrained by quality, scalability, and curation demands. Agentic frameworks enable dynamic, autonomous decision-making and multi-agent collaboration but often depend on synthetic datasets, have scalability issues, and raise ethical concerns. A comparison of tools shows that while LLM-based platforms incorporate citations effectively, most lack advanced functions like diagram generation or idea suggestion.</t>
  </si>
  <si>
    <t>**Conclusions:** AI-assisted literature reviews significantly improve productivity and scalability. While traditional tools remain in use, LLM-based approaches are gaining traction due to their advanced capabilities. However, hallucinations and reliability issues persist, necessitating solutions such as knowledge augmentation and agentic frameworks, which show promise for future applications.</t>
  </si>
  <si>
    <t>**Limitations:** Current AI-assisted literature review tools face reliability issues (e.g., hallucinations), limited coverage of paywalled or licensed content, scalability problems in knowledge curation, and the absence of features like diagram generation and idea suggestion.</t>
  </si>
  <si>
    <t>**Objectives:** The paper aims to survey and evaluate how artificial intelligence, particularly large language models and emerging frameworks, are being applied to automate and enhance literature reviews. It seeks to identify the capabilities, limitations, and potential of these tools in streamlining academic research. The goal is to provide insights into both current practices and future directions in this evolving area.</t>
  </si>
  <si>
    <t>**Research Questions:** What AI methods and tools are currently used in literature reviews?; What are the advantages and limitations of traditional AI-based tools versus emerging LLM-driven approaches?; How can knowledge augmentation and agentic frameworks address reliability challenges like hallucinations?; What future directions exist for AI in automating literature reviews?</t>
  </si>
  <si>
    <t>Acerta pontos principais, mas substitui “futuras direções” por “gaps e open issues” — próximo, mas não exatamente igual.</t>
  </si>
  <si>
    <t>**Methodology:** The authors conducted a structured survey of AI-assisted literature review methods, dividing them into current traditional approaches and emerging methods based on large language models. They reviewed specific systems such as LitSuggest, Research Screener, and Dextr for traditional tools, and Scite, Elicit, and others for LLM-driven methods. They further analyzed knowledge-augmented LLM frameworks and agentic retrieval-augmented generation models, highlighting comparative strengths and weaknesses. A comparative table of LLM-based literature review tools was also presented.</t>
  </si>
  <si>
    <t>**Main Findings:** Traditional AI tools provide limited automation, often constrained to abstracts or specific databases, and lack adaptability. Emerging LLM-based systems demonstrate superior contextual understanding and summarization capabilities but face reliability issues such as hallucinations. Knowledge augmentation techniques (e.g., KALA, KAPING, Adaptive-RAG) improve reliability by integrating external knowledge sources. Agentic frameworks enhance adaptability and reasoning by empowering multiple autonomous agents to collaborate on retrieval and generation tasks. Despite these advances, current tools still lack features such as up-to-date coverage, diagram generation, and proactive suggestion of new research ideas.</t>
  </si>
  <si>
    <t>**Conclusions:** AI-assisted literature review tools significantly improve productivity and reduce time consumption for researchers. While traditional methods remain widely used, LLM-based and knowledge-augmented systems show greater promise despite challenges with hallucinations and scalability. Combining knowledge augmentation with agentic frameworks is identified as a promising pathway for making AI literature review tools more reliable and effective in the future.</t>
  </si>
  <si>
    <t>**Limitations:** The surveyed tools often lack comprehensive coverage of paywalled sources; many rely on limited datasets; hallucinations and inaccuracies remain unsolved challenges; scalability of agentic and knowledge-augmented systems is constrained by resource demands and manual curation requirements.</t>
  </si>
  <si>
    <t>**Objectives:** To examine the current landscape of AI-assisted literature review tools, highlight their benefits and limitations, and explore emerging methods, particularly those leveraging large language models, knowledge augmentation, and agentic frameworks. The study aims to provide insights into how these tools can enhance the efficiency, reliability, and accuracy of literature review processes.</t>
  </si>
  <si>
    <t>**Research Questions:** What AI-based tools and methods are currently used for literature reviews?; What are the strengths and limitations of these tools?; How do emerging methods such as large language models, knowledge augmentation, and agentic frameworks improve the literature review process?; What gaps and open issues remain in AI-assisted literature review systems?</t>
  </si>
  <si>
    <t>Substitui “future directions” por “gaps/open issues” → próximo, mas não igual.</t>
  </si>
  <si>
    <t xml:space="preserve">**Methodology:** The paper synthesizes recent literature on AI-assisted tools for literature reviews, categorizing them into current methods, emerging methods with LLMs, and specialized approaches involving knowledge augmentation and agentic frameworks. It compares established tools such as LitSuggest, Research Screener, Dextr, Scite, and Elicit, and discusses state-of-the-art frameworks like KALA, KAPING, Adaptive-RAG, KnowAgent, and agentic retrieval systems. Comparative tables and conceptual frameworks are used to illustrate strengths, weaknesses, and potential future directions.
</t>
  </si>
  <si>
    <t>**Main Findings:** Traditional AI-based literature review tools improve efficiency but remain limited in scope, often restricted to abstracts or specific domains. LLM-based methods demonstrate superior performance in understanding context, summarization, and citation analysis, but they are prone to hallucinations. Knowledge augmentation approaches that integrate external knowledge sources can mitigate some of these shortcomings, while agentic frameworks further enhance adaptability, reasoning, and task performance. Comparative analysis of tools shows that existing systems often lack features such as up-to-date results, diagram generation, or idea suggestion, indicating a gap in functionality.</t>
  </si>
  <si>
    <t>**Conclusions:** AI-assisted literature reviews significantly improve productivity and scalability, though traditional tools still dominate current practice. LLMs and knowledge-augmented approaches, especially when combined with agentic frameworks, represent promising directions for enhancing accuracy and reliability. Continued research is needed to address hallucinations, scalability, and usability to make these tools more robust and accessible.</t>
  </si>
  <si>
    <t>**Limitations:** The review highlights that many existing tools are limited to specific databases, domains, or document types; LLMs still face reliability issues due to hallucinations; and frameworks often depend on labor-intensive or domain-specific knowledge curation. Broader empirical validation and cross-disciplinary applicability remain open challenges.</t>
  </si>
  <si>
    <t>**Objectives:** The paper aims to survey existing AI-assisted methods for conducting literature reviews, evaluate the strengths and limitations of current and emerging tools, and explore how large language models (LLMs), knowledge augmentation, and agentic frameworks can improve reliability and efficiency in the review process.</t>
  </si>
  <si>
    <t>**Research Questions:** What current AI-assisted methods exist for literature reviews?; What emerging approaches using large language models, knowledge augmentation, and agentic frameworks are being developed?; What are the advantages, challenges, and limitations of these methods?; How can future research address gaps in reliability, scalability, and accuracy?</t>
  </si>
  <si>
    <t>**Methodology:** The authors conducted a comprehensive review of current AI-assisted literature review tools (e.g., LitSuggest, Research Screener, Dextr) and compared them to emerging approaches using LLMs and knowledge augmentation. They surveyed frameworks and systems such as Scite, Elicit, KALA, KAPING, and Adaptive-RAG, analyzing their design, strengths, and limitations. Additionally, they synthesized findings from agentic frameworks that combine retrieval-augmented generation with multi-agent systems to support autonomous reasoning in literature reviews.</t>
  </si>
  <si>
    <t>**Main Findings:** Traditional AI-assisted literature review tools improve efficiency but are often limited in scope, typically relying on abstracts and traditional ML models. Emerging LLM-based tools demonstrate superior performance in summarization, contextual understanding, and citation classification but face challenges such as hallucinations and lack of access to paywalled data. Knowledge augmentation frameworks enhance LLM reliability by integrating domain-specific knowledge, while agentic frameworks enable autonomous reasoning and adaptability. A comparative table highlights that although many tools support citations and up-to-date results, they generally lack the ability to generate diagrams or suggest novel research ideas.</t>
  </si>
  <si>
    <t>**Conclusions:** AI-assisted literature review tools significantly improve researcher productivity, but existing methods have notable limitations. Combining LLMs with knowledge augmentation and agentic frameworks offers a promising direction for enhancing accuracy, reliability, and usefulness in academic research.</t>
  </si>
  <si>
    <t>**Limitations:** LLMs still suffer from hallucinations and bias; many tools exclude paywalled content or require extensive manual curation of knowledge sources; scalability and maintainability issues persist in multi-agent frameworks.</t>
  </si>
  <si>
    <t>**Objectives:** The paper aims to survey the current state and emerging methods of AI-assisted literature reviews. It seeks to analyze existing tools, identify their advantages and limitations, and highlight future directions by examining knowledge augmentation and agentic frameworks.</t>
  </si>
  <si>
    <t>**Research Questions:** What AI methods and tools are currently used in literature reviews?; What are the strengths and limitations of these methods?; How can emerging approaches like knowledge augmentation and agentic frameworks improve the reliability and efficiency of AI-assisted literature reviews?</t>
  </si>
  <si>
    <t>Omite menção clara a LLMs 
como questão de pesquisa e substitui 
“futuras direções” por “melhorar
confiabilidade/eficiência”.</t>
  </si>
  <si>
    <t>**Methodology:** The authors conducted a structured literature survey of existing AI-assisted literature review systems, covering traditional machine learning approaches, LLM-based tools, and emerging methods such as knowledge augmentation and agentic frameworks. They compared multiple tools and frameworks by analyzing published studies, preprints, and real-world applications. The paper also synthesized findings into thematic categories such as hallucination challenges, retrieval-augmented generation, and agent collaboration frameworks.</t>
  </si>
  <si>
    <t>**Main Findings:** Traditional tools such as LitSuggest and Research Screener assist in classification and screening but remain limited in scope and accuracy. LLM-based tools like Scite, Elicit, and Perplexity show stronger contextual reasoning but face challenges such as hallucinations and restricted database access. Knowledge augmentation approaches (e.g., KALA, KAPING, Adaptive-RAG) significantly improve reliability by integrating external knowledge but introduce scalability and curation burdens. Agentic frameworks enhance autonomy and adaptability, enabling more robust reasoning and personalization, but face limitations in scalability, synchronization, and domain generalization. The review also notes that existing LLM tools often lack features such as up-to-date outputs, diagram generation, and idea suggestion.</t>
  </si>
  <si>
    <t>**Conclusions:** AI-assisted literature reviews increase efficiency and productivity, with LLMs offering significant promise over traditional methods. However, their reliability is hampered by hallucinations and database restrictions. Combining knowledge augmentation with agentic frameworks appears to be a promising path toward more reliable, scalable, and effective systems for automating literature reviews.</t>
  </si>
  <si>
    <t>**Limitations:** Not explicitly stated; potential limitations include reliance on secondary sources, lack of systematic inclusion/exclusion criteria, and dependency on the quality of underlying AI tools and datasets.</t>
  </si>
  <si>
    <t>inventa limitações metodológicas (inclusão/exclusão) que não aparecem no gabarito.</t>
  </si>
  <si>
    <t>**Objectives:** The paper explores how software quality assurance (QA) practices are performed in open source software (OSS) projects and how different project contexts affect QA activities. It aims to develop a framework for understanding QA aspects in OSS, identify stakeholder expectations, and derive performance indicators that can be applied to assess QA effectiveness. The study further evaluates these indicators empirically through case studies of two large Apache projects.</t>
  </si>
  <si>
    <t>**Research Questions:** What QA practices are typically performed in OSS projects?; How do OSS project communities execute these QA activities?; How do QA performance indicators vary between different types of OSS projects (pure vs hybrid)?</t>
  </si>
  <si>
    <t>A primeira e a segunda pergunta foram corretamente retiradas do texto, a terceira pergunta foi inferida com base na "One focus of our research is shaping performance indicators to observe QA aspect status in a pure (Tomcat) and hybrid (MyFaces) OSS project. Therefore the part of analysis has two goals: (a) it adds further evidence to differences QA processes performance between diverse types of projects..."</t>
  </si>
  <si>
    <t>**Study Type:** empirical case study</t>
  </si>
  <si>
    <t>**Methodology:** The authors conducted a literature review and expert interviews to identify common QA practices and stakeholder expectations in OSS projects. From these inputs, they proposed a framework of QA aspects and developed performance indicators such as defect detection frequency, defect collection effectiveness, defect closure time, and proportion of verified solutions. These indicators were applied to five releases of two Apache projects (Tomcat and MyFaces) by analyzing bug tracker data, SVN logs, and defect reports, covering more than 500 reported defects.</t>
  </si>
  <si>
    <t>**Main Findings:** Tomcat, as a pure volunteer-driven project, had higher defect reporting frequency due to its large and heterogeneous user community, but also more invalid defect reports compared to MyFaces. MyFaces, as a hybrid project with paid contributors, showed more effective defect collection and higher proportions of verified solutions, reflecting stronger peer review practices. Defect closure times were generally faster in Tomcat for critical issues, but MyFaces emphasized more thorough verification, which sometimes extended resolution time. Overall, the study found that QA performance differs significantly between pure and hybrid OSS projects, shaped by community size, structure, and governance.</t>
  </si>
  <si>
    <t>**Conclusions:** QA in OSS projects is influenced by community dynamics, sponsorship, and project policies. While both Tomcat and MyFaces achieve effective QA, they do so with different trade-offs: Tomcat emphasizes responsiveness, while MyFaces emphasizes thorough verification. The proposed QA framework and performance indicators provide useful tools for monitoring and improving QA practices in OSS contexts.</t>
  </si>
  <si>
    <t>Correto e suportado pelo texto</t>
  </si>
  <si>
    <t>**Limitations:** The study analyzed only two Apache projects over a limited timeframe, which may restrict generalizability. Empirical evaluation was constrained by data availability and project-specific factors.</t>
  </si>
  <si>
    <t>O texto não menciona disponibilidade de dados como uma limitação</t>
  </si>
  <si>
    <t>**Objectives:** To explore how quality assurance (QA) practices are conducted in open source software (OSS) projects, identify stakeholder value expectations, and develop performance indicators for monitoring QA processes. The study aims to compare QA effectiveness in pure volunteer-driven projects versus hybrid projects supported by organizations.</t>
  </si>
  <si>
    <t>**Research Questions:** What QA practices are common in OSS projects?; How do OSS communities perform these QA activities?; Do QA processes differ between pure volunteer-driven and hybrid OSS projects?; Which performance indicators effectively measure QA activities in OSS?</t>
  </si>
  <si>
    <t>Os dois primeiros estão corretos e os outros dois foram assumidos pela IA com base no presente no texto.</t>
  </si>
  <si>
    <t>**Methodology:** The authors conducted a literature review and two expert interviews to establish stakeholder roles, win conditions, and QA-related values. They proposed a QA framework with three process groups: defect detection, defect verification, and solution verification. Performance indicators (e.g., defect closure time, defect detection frequency, defect collection effectiveness, proportion of verified solutions) were defined and applied to five releases of two Apache projects: Tomcat (pure volunteer) and MyFaces (hybrid). Empirical data were collected from bug trackers and SVN logs, analyzing more than 500 reported defects.</t>
  </si>
  <si>
    <t>**Main Findings:** Tomcat exhibited higher defect detection frequency due to its larger, more heterogeneous user community. MyFaces demonstrated higher defect collection effectiveness, with fewer invalid defect reports. Closure times varied: Tomcat often resolved severe defects faster, while MyFaces sometimes delayed fixes due to more thorough peer review. Verified solution proportions were higher in MyFaces, showing stronger emphasis on code review, whereas Tomcat fixes were often marked as resolved without formal verification. Overall, project type influenced QA practices, reflecting differences in community size, sponsorship, and policies.</t>
  </si>
  <si>
    <t>**Conclusions:** OSS projects achieve QA through community-driven processes, but the nature of the project (pure volunteer vs. hybrid) shapes outcomes. Hybrid projects showed stronger peer review and defect validation, while volunteer-driven projects demonstrated greater defect reporting activity and faster but less verified resolutions. Performance indicators based on stakeholder values are useful for monitoring QA effectiveness and guiding improvement.</t>
  </si>
  <si>
    <t>**Limitations:** The study analyzed only two Apache projects and a limited five-month period; results may not generalize across all OSS projects. Verification activities in Tomcat may have been underestimated due to time constraints of observation.</t>
  </si>
  <si>
    <t>**Objectives:** The paper aims to explore quality assurance (QA) practices in open source software projects, identify stakeholder value expectations for QA, and develop performance indicators to assess QA activities. It also seeks to compare how these practices differ between a purely volunteer-based project (Tomcat) and a hybrid project (MyFaces).</t>
  </si>
  <si>
    <t>**Research Questions:** What QA practices are common in typical OSS projects?; How do project communities perform QA activities?; How do QA performance indicators differ between pure and hybrid OSS projects?</t>
  </si>
  <si>
    <t>**Methodology:** The study combined literature review and expert interviews to develop a QA framework and derive performance indicators (e.g., defect detection frequency, defect collection effectiveness, defect closure time, and proportion of verified solutions). These indicators were applied to five releases of two large Apache projects, Tomcat (pure volunteer) and MyFaces (hybrid with company support). Data was retrieved from bug trackers and SVN logs, covering more than 500 reported defects, and analyzed using descriptive statistics.</t>
  </si>
  <si>
    <t>**Main Findings:** Tomcat showed higher defect detection frequency due to its large and heterogeneous user base, while MyFaces demonstrated more effective defect collection with fewer invalid reports. Defect closure time varied: Tomcat resolved many defects quickly but with more variability, whereas MyFaces often took longer due to stricter peer review. Verified solutions were more prevalent in MyFaces, where code review processes were more systematic, while Tomcat had faster resolutions but less peer verification. Overall, QA practices differed significantly depending on project type, community size, and sponsorship.</t>
  </si>
  <si>
    <t>**Conclusions:** The study highlights that QA in OSS projects is strongly shaped by community structure and project type. Hybrid projects with formal support tend to have more systematic QA, while pure volunteer projects rely on community diversity and speed. Performance indicators derived from stakeholder values can help monitor and improve QA in OSS projects.</t>
  </si>
  <si>
    <t>**Limitations:** Limited timeframe of five months; Only two Apache projects analyzed; Some results may not generalize to smaller or less mature OSS projects.</t>
  </si>
  <si>
    <t>Embora os autores reconheçam a necessidade de ampliar a pesquisa para fortalecer a generalização, eles não especificam que os resultados não se aplicariam a projetos "menores ou menos maduros"</t>
  </si>
  <si>
    <t>**Objectives:** To explore and understand quality assurance practices in open source software projects, particularly within Apache Tomcat and Apache MyFaces. The study aims to propose a framework for QA, elicit stakeholder value propositions, and derive performance indicators applicable to OSS contexts.</t>
  </si>
  <si>
    <t>**Research Questions:** What are the QA practices in a typical OSS project?; How does the project community perform such activities?; How do QA performance indicators differ between pure volunteer-driven and hybrid OSS projects?</t>
  </si>
  <si>
    <t>**Methodology:** The authors conducted a literature review and two expert interviews to identify stakeholder roles, values, and win conditions for QA in OSS projects. They proposed a framework based on bug life cycle processes (detection, verification, and solution verification). Empirical analysis was performed on five releases of Apache Tomcat (pure OSS) and Apache MyFaces (hybrid OSS), examining over 500 reported defects using derived performance indicators such as defect detection frequency, defect collection effectiveness, defect closure time, and proportion of verified solutions.</t>
  </si>
  <si>
    <t>**Main Findings:** Tomcat, with a larger and more heterogeneous community, showed higher defect reporting frequency but also more invalid defect reports compared to MyFaces. MyFaces exhibited higher defect collection effectiveness and stronger practices of peer review, though closure times were sometimes longer due to more thorough verification. Most projects resolved defects within 30 days, with some projects (Tomcat 5, MyFaces Tomahawk) addressing over half within a single day. Verified solution proportions were notably higher in MyFaces, indicating more systematic QA practices. In contrast, Tomcat resolutions were faster but less frequently peer reviewed.</t>
  </si>
  <si>
    <t>**Conclusions:** QA in OSS projects varies significantly depending on project type, community size, sponsorship, and release policies. Hybrid projects (MyFaces) tend to emphasize thorough validation and peer review, while pure volunteer projects (Tomcat) favor faster but less formalized defect resolution. The study's QA performance indicators provide useful tools for monitoring quality practices in diverse OSS contexts.</t>
  </si>
  <si>
    <t>**Limitations:** Limited to two Apache projects and a short observation period (five months); potential lack of generalizability; some QA activities, especially longer-term peer review and release policy effects, may not have been fully captured</t>
  </si>
  <si>
    <t>**Objectives:** The study aims to explore quality assurance (QA) practices in open source software (OSS) projects and to propose a framework for analyzing QA activities. It also seeks to develop performance indicators derived from stakeholder values and evaluate their application through case studies of two Apache projects.</t>
  </si>
  <si>
    <t>**Research Questions:** What QA practices are commonly performed in OSS projects?; How do OSS communities execute these QA activities?; How can stakeholder values be translated into measurable QA performance indicators?; How do QA practices differ between pure volunteer and hybrid OSS projects?</t>
  </si>
  <si>
    <t>Os dois primeiros estão corretos e os outros dois foram assumidos pela IA com base no presente no texto, não tá errado mas pode levar a erros.</t>
  </si>
  <si>
    <t>**Methodology:** The study combines literature review and expert interviews to identify stakeholder expectations and common QA practices in OSS. Based on these insights, the authors propose a framework for QA activities and define performance indicators. These indicators are applied to five releases across two Apache projects (Tomcat and MyFaces), analyzing more than 500 reported defects retrieved from SVN logs and bug trackers, with descriptive statistics used for evaluation.</t>
  </si>
  <si>
    <t>**Main Findings:** Tomcat, as a large volunteer-driven project, showed higher defect detection frequency but also a greater proportion of invalid reports compared to MyFaces. MyFaces, as a hybrid project with corporate involvement, demonstrated more effective defect collection and higher rates of peer review for defect resolution. Defect closure times varied: Tomcat resolved some defects faster, but MyFaces exhibited more consistent peer-reviewed closures, especially for medium- and low-severity defects. Overall, QA performance indicators highlighted significant differences in QA practices across project types, shaped by community size, structure, and sponsorship.</t>
  </si>
  <si>
    <t>**Conclusions:** OSS projects employ diverse QA practices influenced by community composition and governance. While volunteer-driven projects like Tomcat excel in defect reporting activity, hybrid projects like MyFaces achieve stronger validation and peer review. Stakeholder-based performance indicators offer a valuable tool for monitoring QA processes and guiding improvements in OSS development.</t>
  </si>
  <si>
    <t>**Limitations:** The case study was limited to two projects and a short observation period of five months; peer review practices in Tomcat may have been underrepresented due to time constraints. Broader empirical evaluation across more OSS projects is needed.</t>
  </si>
  <si>
    <t>**Objectives:** The study aims to explore how quality assurance (QA) is practiced in open source software (OSS) projects, focusing on identifying stakeholder values and deriving performance indicators for QA. It also seeks to empirically evaluate these indicators in two large Apache projects, Tomcat and MyFaces, to better understand QA processes in different OSS contexts.</t>
  </si>
  <si>
    <t>**Research Questions:** What are the QA practices in a typical OSS project?; How does the project community perform such activities?; How do QA performance indicators vary between pure and hybrid OSS projects?</t>
  </si>
  <si>
    <t>**Methodology:** The researchers combined literature review and two expert interviews to identify common QA practices and stakeholder value expectations in OSS projects. They developed a QA framework with processes such as defect detection, verification, and solution verification. They then defined performance indicators (e.g., defect closure time, defect collection effectiveness, defect detection frequency, proportion of verified solutions) and applied them to five releases of Apache Tomcat and Apache MyFaces. Data was retrieved from project defect databases and analyzed using descriptive statistics.</t>
  </si>
  <si>
    <t>**Main Findings:** Tomcat (a pure OSS project) exhibited higher defect detection frequency due to its larger and more heterogeneous community, while MyFaces (a hybrid project) showed more effective defect collection and higher proportions of verified solutions. MyFaces generally had fewer invalid defect reports, reflecting stronger structure and documentation, but longer defect closure times compared to Tomcat. Tomcat solutions tended to be resolved faster but underwent less peer review, whereas MyFaces emphasized peer review, resulting in more thorough but slower resolutions. Overall, QA practices varied significantly between the two project types.</t>
  </si>
  <si>
    <t>**Conclusions:** The study concludes that QA in OSS projects is shaped by community structure, sponsorship, and release policies. Hybrid projects tend to enforce more structured QA practices, while pure OSS projects rely on larger user bases for defect detection. The framework and performance indicators developed can support monitoring QA activities in OSS projects and inform process improvement efforts.</t>
  </si>
  <si>
    <t>**Limitations:** The case study was limited to two Apache projects over a five-month observation period, which constrains the generalizability of findings. Additionally, certain QA processes like long-term peer review could not be fully captured within the timeframe.</t>
  </si>
  <si>
    <t>**Objectives:** The paper aims to address the incompleteness of traditional software reliability models that rely solely on timing and failure rate. It introduces complexity and test effectiveness as essential factors in evaluating reliability. The goal is to propose a more comprehensive method for measuring software complexity and integrating it into reliability assessment.</t>
  </si>
  <si>
    <t>**Research Questions:** How does software complexity influence software reliability?; Which existing complexity measures (LOC, Halstead, McCabe, Information Flow) best capture reliability-relevant aspects?; How can a new model incorporate complexity and test effectiveness into software reliability evaluation?</t>
  </si>
  <si>
    <t>**Study Type:** theoretical and empirical analysis</t>
  </si>
  <si>
    <t>**Methodology:** The study reviews four established complexity metrics (Lines of Code, Halstead, McCabe, and Information Flow) and compares their results across five example programs. Normalized data were used to illustrate differences and limitations of each metric. The authors then propose a combined weighted formula for software complexity that integrates these factors, and link it with a modified reliability model that accounts for complexity and test effectiveness.</t>
  </si>
  <si>
    <t>**Main Findings:** Traditional reliability models are incomplete because they omit key human-related and structural factors. Each complexity measure captures only part of the picture: LOC reflects size, Halstead focuses on operators/operands, McCabe measures control flow, and Information Flow accounts for inter-module interactions. Comparative results across programs showed that none alone suffices, but all contribute to understanding complexity. The paper proposes a new composite complexity measure and suggests that reliability should be expressed as a function of complexity, test effectiveness, and failure rate.</t>
  </si>
  <si>
    <t>**Conclusions:** Software reliability cannot be fully described by time and failure rate alone. Complexity and test effectiveness must be included in reliability models, with composite metrics providing a more accurate foundation. The proposed model offers a step toward more realistic and holistic reliability assessment.</t>
  </si>
  <si>
    <t>**Limitations:** The proposed approach was only demonstrated with five example programs and theoretical formulations. Broader empirical validation across larger and more diverse software systems is needed.</t>
  </si>
  <si>
    <t>Incorreto, limitações criadas pela IA</t>
  </si>
  <si>
    <t>**Objectives:** The paper aims to redefine software reliability by incorporating software complexity and test effectiveness into reliability models. It seeks to evaluate classical complexity metrics and propose a more comprehensive method for linking complexity with reliability assessment.</t>
  </si>
  <si>
    <t>**Research Questions:** How do existing complexity measures (LOC, Halstead, McCabe, Information Flow) capture software complexity?; In what ways can these measures be integrated to provide a more complete reliability model?; How does test effectiveness interact with software complexity in influencing software reliability?</t>
  </si>
  <si>
    <t>**Study Type:** conceptual and methodological study with illustrative quantitative examples</t>
  </si>
  <si>
    <t>**Methodology:** The authors reviewed classical complexity metrics (Lines of Code, Halstead, McCabe's cyclomatic complexity, and Information Flow). They applied these methods to five sample programs, normalizing the results and comparing their relative strengths and shortcomings. They proposed an integrated complexity expression that weights different metrics and linked it to a modified reliability formula that incorporates both complexity and test effectiveness.</t>
  </si>
  <si>
    <t>**Main Findings:** The study finds that no single complexity metric adequately captures all aspects of software complexity. LOC reflects size but is too rough, Halstead captures operators/operands but misses structural depth, McCabe emphasizes decision points but ignores scale, and Information Flow reflects modular interaction but not other aspects. By combining these metrics, a more accurate representation of software complexity is achieved. Furthermore, software reliability is better modeled when failure rate is expressed as a function of both test effectiveness and complexity.</t>
  </si>
  <si>
    <t>**Conclusions:** The paper concludes that software reliability must move beyond time and failure rate to account for complexity and test effectiveness. It introduces a more comprehensive complexity formula and reliability model that provide a better theoretical foundation for evaluating modern, intricate software systems.</t>
  </si>
  <si>
    <t xml:space="preserve">"the work is desirable to be improved in the near future"
</t>
  </si>
  <si>
    <t>**Objectives:** The paper aims to redefine software reliability by incorporating software complexity, test effectiveness, and operating environment, moving beyond the traditional focus on timing and failure rate. It seeks to establish a more comprehensive framework for understanding how software complexity impacts reliability.</t>
  </si>
  <si>
    <t xml:space="preserve">Menciona operating environment que não consta no gabarito </t>
  </si>
  <si>
    <t>**Research Questions:** How do existing complexity measurement methods (LOC, Halstead, McCabe, Information Flow) reflect software reliability?; What are the limitations of these metrics when applied individually?; Can a composite method better capture the relationship between complexity and reliability?; How should failure rate be reformulated to include software complexity and test effectiveness?</t>
  </si>
  <si>
    <t>**Study Type:** conceptual and methods-driven study with illustrative examples</t>
  </si>
  <si>
    <t>Melhor que a resposta do gabarito</t>
  </si>
  <si>
    <t>**Methodology:** The authors review four traditional complexity measures—Lines of Code, Halstead metrics, McCabe's cyclomatic complexity, and Information Flow. They compute these metrics across five example programs to illustrate inconsistencies and incompleteness. The results are normalized and compared through tables and graphs, leading to the proposal of a composite complexity measure that integrates all factors. Finally, they propose an enhanced failure rate formula that incorporates complexity and test effectiveness.</t>
  </si>
  <si>
    <t>**Main Findings:** Individual complexity measures capture only partial aspects of software complexity, resulting in incomplete reliability assessments. Comparative analysis shows that metrics such as LOC correlate with increases in other complexity factors but do not fully reflect program intricacies. The study demonstrates that McCabe, Halstead, and Information Flow values affect programmer and tester performance differently, thereby influencing defect rates. A weighted composite measure better represents true software complexity, and incorporating complexity and test effectiveness into the failure rate provides a more realistic model of software reliability.</t>
  </si>
  <si>
    <t>**Conclusions:** The study concludes that software reliability cannot be accurately assessed using only timing and failure rate. Instead, complexity, test effectiveness, and environmental factors must be integrated. The proposed composite metric and refined reliability formula offer a more comprehensive approach, though further refinement is still needed.</t>
  </si>
  <si>
    <t>**Limitations:** The study uses only five sample programs for illustration; the proposed method is conceptual and not yet validated through large-scale empirical studies.</t>
  </si>
  <si>
    <t>**Objectives:** The study aims to redefine software reliability by incorporating software complexity, test effectiveness, and operating environment, moving beyond traditional models that rely only on time and failure rate. It specifically explores how complexity metrics can provide a more complete understanding of software reliability.</t>
  </si>
  <si>
    <t>**Research Questions:** How does software complexity relate to software reliability?; Which complexity measurement approaches better capture reliability implications?; How can failure rate be expressed as a function of complexity and test effectiveness?</t>
  </si>
  <si>
    <t>**Study Type:** conceptual and methods-driven analytical study</t>
  </si>
  <si>
    <t>Resposta melhor que a do gabarito</t>
  </si>
  <si>
    <t>**Methodology:** The paper reviews traditional software reliability models and critiques their limitations. It examines four established software complexity measures (Lines of Code, Halstead, McCabe, and Information Flow), applies them to five example programs, and normalizes the results to compare their adequacy. It then develops a weighted composite metric of complexity and proposes an extended formula linking failure rate, test effectiveness, and complexity to reliability.</t>
  </si>
  <si>
    <t>**Main Findings:** Traditional reliability models are incomplete because they ignore complexity and test effectiveness. Each classic metric (LOC, Halstead, McCabe, IF) captures only partial aspects of complexity, so none is sufficient alone. A weighted combination of multiple metrics provides a more accurate and comprehensive measure of software complexity. The proposed model suggests that failure rate should explicitly depend on both test effectiveness and software complexity, not just time. This leads to a more realistic framework for assessing software reliability.</t>
  </si>
  <si>
    <t>**Conclusions:** The study concludes that software reliability should be modeled as a function of complexity, test effectiveness, and operating conditions. A composite complexity measure and an adjusted reliability formula can better reflect real-world reliability. Future research is needed to refine and validate these models.</t>
  </si>
  <si>
    <t>**Objectives:** Redefine software reliability beyond timing and failure rate by incorporating software complexity, test effectiveness, and operating environment. The study aims to evaluate classical complexity metrics, demonstrate their incompleteness, and propose a more comprehensive formula linking complexity to software reliability.</t>
  </si>
  <si>
    <t>**Research Questions:** How does software complexity influence software reliability?; Are traditional complexity metrics sufficient to capture the reliability impact?; How can software reliability be redefined to account for complexity, test effectiveness, and operating conditions?</t>
  </si>
  <si>
    <t>**Study Type:** conceptual and methodological study with illustrative computational examples</t>
  </si>
  <si>
    <t>**Methodology:** The paper reviews four classical software complexity measurement approaches: Lines of Code, Halstead metrics, McCabe's cyclomatic complexity, and Information Flow. Using five example programs, it compares these metrics, normalizes their results, and analyzes correlations and discrepancies. It then proposes a weighted composite measure of complexity and integrates it into an extended reliability formula that also accounts for test effectiveness.</t>
  </si>
  <si>
    <t>**Main Findings:** Traditional reliability models focusing only on time and failure rate are incomplete. Classical complexity metrics each capture only part of the picture: LOC reflects scale, Halstead focuses on operators/operands, McCabe measures decision structure, and Information Flow addresses inter-module data exchange. No single metric alone adequately predicts reliability. A composite, weighted approach combining these factors better represents real software complexity. The proposed reliability formula links failure rate to both complexity and test effectiveness, producing a more comprehensive evaluation of reliability.</t>
  </si>
  <si>
    <t>**Conclusions:** Software reliability should be redefined as a function of application complexity, test effectiveness, and operating environment. A composite measurement of complexity is more accurate than relying on individual metrics, and integrating these into the reliability model yields a more realistic assessment of software dependability.</t>
  </si>
  <si>
    <t>**Objectives:** The paper aims to redefine software reliability beyond the traditional focus on time and failure rate, incorporating software complexity, test effectiveness, and operating environment. It particularly emphasizes how complexity measurements influence software reliability and proposes a more comprehensive method to capture this relationship.</t>
  </si>
  <si>
    <t>**Research Questions:** How does software complexity affect reliability?; Which complexity metrics best capture the relationship with reliability?; How can test effectiveness and complexity jointly improve reliability modeling?</t>
  </si>
  <si>
    <t>**Study Type:** conceptual and analytical study</t>
  </si>
  <si>
    <t>**Methodology:** The authors review four classic software complexity measurement approaches (LOC, Halstead, McCabe, and Information Flow) and analyze their limitations. They apply these metrics to five example programs, normalize the data, and compare trends across methods. Based on the observed shortcomings, they propose a composite weighted formula that integrates multiple complexity factors and links them with test effectiveness in a new reliability model.</t>
  </si>
  <si>
    <t>**Main Findings:** No single complexity metric adequately represents software reliability, as each captures only a partial aspect of complexity. The analysis of five programs shows that metrics such as LOC, McCabe, Halstead, and Information Flow increase together but differ in meaning and emphasis. Combining these measures provides a more balanced and accurate depiction of software complexity. The proposed model integrates test effectiveness and complexity to offer a more comprehensive failure rate function than traditional approaches.</t>
  </si>
  <si>
    <t>**Conclusions:** Software reliability must account for complexity and test effectiveness in addition to time and failure rate. The proposed method offers a more realistic and comprehensive way to evaluate reliability. Future work is needed to refine and improve the model further.</t>
  </si>
  <si>
    <t>**Limitations:** The study is largely conceptual and illustrative, relying on only five programs for empirical comparison; no large-scale validation or case studies are presented.</t>
  </si>
  <si>
    <t>**Objectives:** The study aims to develop a software effort estimation model tailored for open source freelance software projects. It extends the Use Case Point (UCP) approach by incorporating factors specific to freelance contexts, addressing the absence of accurate estimation models for this domain.</t>
  </si>
  <si>
    <t>Acerta ao destacar que o estudo estende UCP, foca em freelancers e effort drivers, além de validar com analogia.</t>
  </si>
  <si>
    <t>**Research Questions:** Can Use Case Points be effectively applied to estimate effort in open source freelance software development?; Which effort drivers are most relevant in this context?; Which analogy-based adaptation method provides the most accurate results?</t>
  </si>
  <si>
    <t>Porém, incluiu detalhamento extra das research questions (“Which analogy-based method provides the most accurate results?”) que não está explicitamente no gabarito.</t>
  </si>
  <si>
    <t>**Study Type:** empirical model development and validation</t>
  </si>
  <si>
    <t>O gabarito esperava simplesmente quantitative. Está próximo, mas adiciona categorização não usada no gabarito.</t>
  </si>
  <si>
    <t>**Methodology:** The authors conducted a literature review to identify effort drivers specific to freelance OSS projects. Data were collected from 13 projects developed by nine freelancers across domains (business, embedded systems, scientific applications). Use Case Points (UUCP) were calculated from project diagrams, and additional drivers like programming language, developer experience, and domain were considered. An analogy-based estimation model (ANGEL) was extended and tested using four adaptation strategies (closest analogy, mean, median, IRWM), validated with n-fold cross-validation, and evaluated using MMRE.</t>
  </si>
  <si>
    <t>Descreve bem as quatro fases: identificação de drivers, coleta de 13 projetos, extensão do modelo ANGEL com métodos de analogia e validação via cross-validation + MMRE.</t>
  </si>
  <si>
    <t>**Main Findings:** Unadjusted Use Case Points, developer experience, programming language, and application domain were identified as key effort drivers for freelance OSS development. Among the four analogy adaptation methods tested, the Inverse Rank Weighted Mean (IRWM) produced the lowest MMRE value (0.23131), outperforming closest analogy, mean, and median approaches. The results demonstrate that UCP combined with analogy-based methods can be adapted effectively for freelance OSS projects.</t>
  </si>
  <si>
    <t>Menciona drivers relevantes (UUCP, experiência, linguagem, domínio), irrelevância de TCF/ECF implícita, e IRWM como mais preciso com MMRE = 0.23131.</t>
  </si>
  <si>
    <t>**Conclusions:** The study confirms that Use Case Points can be a viable effort driver for freelance OSS effort estimation. Extending the ANGEL analogy-based model with IRWM provides improved accuracy compared to other adaptation methods. This approach supports freelancers in better predicting effort and managing time and budget constraints.</t>
  </si>
  <si>
    <t>Afirma viabilidade do UCP, extensão do ANGEL com IRWM como a melhor, e importância para freelancers.</t>
  </si>
  <si>
    <t>**Limitations:** The study is limited by the small dataset of 13 projects and its focus on freelancers in Sri Lanka, which may affect generalizability. Inefficiencies in use case diagrams also introduced potential variance in calculated UCP values.</t>
  </si>
  <si>
    <t>O gabarito apontava limitações do ANGEL tool (peso igual, falta de handling para out-of-range/no-match).</t>
  </si>
  <si>
    <t>**Objectives:** The paper aims to extend the Use Case Point (UCP)-based effort estimation model to address the unique characteristics of open-source freelance software development. It seeks to identify relevant effort drivers and validate whether UCP combined with analogy-based models can improve estimation accuracy for freelance projects.</t>
  </si>
  <si>
    <t>**Research Questions:** Can Use Case Points be effectively applied as the primary effort driver for open source freelance software projects?; How do additional factors such as developer experience, programming language, and application domain influence estimation accuracy?; Which analogy adaptation method provides the most accurate effort predictions?</t>
  </si>
  <si>
    <t>**Study Type:** empirical study with model extension and validation</t>
  </si>
  <si>
    <t>**Methodology:** The authors reviewed literature to identify key effort drivers specific to freelance open-source software development. They collected data from 13 projects developed by 9 freelance software developers in Sri Lanka, covering multiple domains and languages. For each project, Unadjusted Use Case Points (UUCP) were calculated from use case diagrams, and additional drivers (developer experience, language, domain) were included. The ANGEL analogy-based estimation model was extended and applied using four adaptation methods (closest analogy, mean, median, and inverse rank weighted mean). Model performance was validated with n-fold cross-validation and evaluated using MMRE.</t>
  </si>
  <si>
    <t>**Main Findings:** The study identified UUCP, developer experience, programming language, and application domain as significant effort drivers for freelance open-source projects. Among the four analogy adaptation methods tested, the Inverse Rank Weighted Mean (IRWM) provided the lowest MMRE (0.23131), outperforming closest, mean, and median adaptations. Results confirmed that UCP can serve as a viable software sizing measure for freelance projects, and that analogy-based estimation performs effectively when tailored to this context. However, estimation accuracy was shown to depend heavily on the similarity of historical project data to the new project being estimated.</t>
  </si>
  <si>
    <t>**Conclusions:** The extended ANGEL model using UCP as the sizing factor is effective for effort estimation in open-source freelance software development. IRWM adaptation yields the most accurate results among tested methods. Accurate estimation remains critical for freelancers to meet time and budget constraints, and project similarity plays a central role in improving prediction reliability.</t>
  </si>
  <si>
    <t>**Limitations:** The dataset was limited to 13 projects from 9 developers, reducing generalizability. Use case diagrams sometimes contained inefficiencies, affecting UCP calculations. The model's accuracy is highly dependent on the availability and similarity of historical data.</t>
  </si>
  <si>
    <t>Cita dataset pequeno, regionalidade (Sri Lanka), e ineficiências em diagramas.</t>
  </si>
  <si>
    <t>**Objectives:** The paper aims to extend the use-case point (UCP) based software effort estimation model to better suit open-source freelance software development. It seeks to identify effort drivers specific to freelancers, incorporate UCP as a sizing measure, and evaluate the accuracy of analogy-based estimation methods for predicting effort in diverse OSS projects.</t>
  </si>
  <si>
    <t>**Research Questions:** Can the UCP method be effectively adapted for effort estimation in open-source freelance software development?; Which effort drivers are most relevant in this freelance OSS context?; How accurate are analogy-based estimation methods when extended with UCP for these projects?</t>
  </si>
  <si>
    <t>**Study Type:** empirical model development and evaluation</t>
  </si>
  <si>
    <t>**Methodology:** The study first conducted a literature review to identify effort drivers relevant to freelance OSS development, such as developer experience, programming language, and application domain. Data from 13 OSS projects developed by 9 freelance developers in Sri Lanka were collected, and unadjusted use-case points (UUCP) were calculated for each. The ANGEL analogy-based estimation model was extended by integrating UCP as the primary sizing factor, and four analogy adaptation methods (closest analogy, mean, median, inverse rank weighted mean) were tested. The model was validated using n-fold cross-validation and evaluated with MMRE as the main accuracy metric.</t>
  </si>
  <si>
    <t>**Main Findings:** Unadjusted use-case points (UUCP), along with developer experience, programming language, and application domain, were identified as key effort drivers for freelance OSS projects. Among the four analogy adaptation methods, inverse rank weighted mean (IRWM) produced the lowest MMRE (0.23131), outperforming closest analogy (0.2602), mean (0.25073), and median (0.25002). This indicates that IRWM adaptation is more effective for effort prediction in this context. The study also confirmed that UCP can serve as a viable software sizing measure in early project stages for freelancers with limited resources.</t>
  </si>
  <si>
    <t>**Conclusions:** The extended UCP-based ANGEL model provides a promising approach for estimating effort in open-source freelance software development. By considering specific effort drivers and leveraging UCP, the method achieves improved estimation accuracy, with IRWM adaptation emerging as the most reliable technique. This extension addresses a gap in effort estimation models tailored for freelance OSS work.</t>
  </si>
  <si>
    <t>**Limitations:** The dataset was limited to 13 projects from 9 developers in Sri Lanka, which may not capture broader industry variation. Inefficiencies in some use-case diagrams may have introduced errors in UCP calculations. Results may not generalize to larger datasets or different regional and organizational contexts.</t>
  </si>
  <si>
    <t>**Objectives:** The paper aims to extend the Use Case Point (UCP)-based effort estimation model to suit the unique characteristics of open source freelance software development. It seeks to improve estimation accuracy by adapting analogy-based methods and incorporating effort drivers specific to freelancers, such as developer experience, programming language, and project domain.</t>
  </si>
  <si>
    <t>Captou bem a ideia de estender UCP para freelancers, incluir drivers e testar métodos de analogia. Porém, incluiu ênfase em “improving estimation accuracy” como objetivo central, que não aparece no gabarito como tal.</t>
  </si>
  <si>
    <t>**Research Questions:** Can Use Case Points serve as a reliable software sizing measure for open source freelance software development?; How can analogy-based estimation models be extended to improve accuracy in freelance contexts?; Which adaptation method provides the most accurate predictions when applying UCP with analogy-based models?</t>
  </si>
  <si>
    <t>**Study Type:** empirical methodological study with model extension and validation</t>
  </si>
  <si>
    <t>**Methodology:** The study first identified effort drivers specific to freelance open source projects, including Unadjusted Use Case Points (UUCP), programming language, developer experience, and application domain. Data from 13 projects by nine freelance developers in Sri Lanka were collected. The ANGEL analogy-based effort estimation model was extended and tested using different analogy adaptation methods: closest analogy, mean, median, and inverse rank weighted mean (IRWM). Model accuracy was evaluated using n-fold cross-validation and error metrics such as MMRE.</t>
  </si>
  <si>
    <t>**Main Findings:** Results show that UCP is a viable measure for sizing freelance open source projects when combined with analogy-based estimation. Among the adaptation methods tested, the Inverse Rank Weighted Mean (IRWM) yielded the lowest MMRE (0.23131), outperforming closest analogy (0.2602), mean (0.25073), and median (0.25002). This indicates that weighting multiple analogies provides more reliable effort estimates. The findings highlight the importance of accounting for developer experience, project domain, and language in freelance effort estimation.</t>
  </si>
  <si>
    <t>**Conclusions:** The study concludes that extending the ANGEL analogy-based model with UCP and freelance-specific effort drivers provides a more accurate method for estimating software effort in open source freelance contexts. IRWM is recommended as the best adaptation strategy for improving estimation accuracy.</t>
  </si>
  <si>
    <t>**Limitations:** The dataset was limited to 13 projects from nine developers, primarily in Sri Lanka, which may restrict generalizability. Some inefficiencies in use case diagrams could have influenced estimation results.</t>
  </si>
  <si>
    <t>Menciona dataset pequeno e ineficiências em diagramas e o gabarito enfatizava limitações da ferramenta ANGEL (peso igual, handling de valores fora da faixa/no match).</t>
  </si>
  <si>
    <t>**Objectives:** The study aims to extend Use Case Point (UCP)-based effort estimation models to the context of freelance open-source software (OSS) development. It seeks to identify the specific effort drivers affecting OSS freelance projects and to test whether UCP can serve as a reliable sizing measure when integrated into analogy-based models.</t>
  </si>
  <si>
    <t>**Research Questions:** What effort drivers are most relevant for OSS freelance development?; Can Use Case Points be effectively used as the primary sizing measure for OSS freelance projects?; Which analogy adaptation method yields the most accurate effort predictions?</t>
  </si>
  <si>
    <t>**Methodology:** The study collected data from 13 OSS projects developed by 9 freelance developers in Sri Lanka, covering multiple domains and programming languages. Effort drivers such as UUCP, developer experience, programming language, and application domain were identified. The ANGEL analogy-based estimation model was extended using UCP as the sizing measure, and four analogy adaptation methods (Closest Analogy, Mean, Median, and Inverse Rank Weighted Mean) were applied. The model's accuracy was validated through n-fold cross-validation using MMRE as the primary performance metric.</t>
  </si>
  <si>
    <t>**Main Findings:** The research showed that Unadjusted Use Case Points, developer experience, programming language, and application domain are significant effort drivers in OSS freelance projects. Among the four adaptation methods tested, the Inverse Rank Weighted Mean (IRWM) performed best, achieving the lowest MMRE (0.23131). The results confirmed that UCP can be a viable main effort driver in OSS freelance contexts, particularly when integrated into an extended ANGEL model.</t>
  </si>
  <si>
    <t>**Conclusions:** The study concludes that extending UCP-based effort estimation with analogy models improves prediction accuracy for OSS freelance projects. IRWM adaptation offers the most reliable results, demonstrating that UCP combined with analogy-based estimation is a feasible approach for freelancers working under budgetary and resource constraints.</t>
  </si>
  <si>
    <t>**Limitations:** The dataset was limited to 13 projects from 9 freelance developers in Sri Lanka, which may restrict generalizability. The accuracy of UCP calculations depended on the quality of use case diagrams, and inconsistencies in these diagrams may have affected results.</t>
  </si>
  <si>
    <t>Dataset pequeno, dependência da qualidade dos diagramas e novamente, não trouxe as limitações técnicas do ANGEL tool citadas no gabarito.</t>
  </si>
  <si>
    <t>**Objectives:** The study aims to extend the Use Case Point (UCP) effort estimation model to address the unique characteristics of open-source freelance software development. It seeks to identify relevant effort drivers and evaluate the viability of UCP combined with analogy-based estimation for more accurate predictions. The goal is to improve estimation accuracy in contexts where freelancers lack access to proprietary tools and work under budget constraints.</t>
  </si>
  <si>
    <t>Alinha-se bem com o gabarito (extensão de UCP, effort drivers, analogia, validação), contudo, adiciona foco em “freelancers sem acesso a ferramentas proprietárias” — detalhe não presente no gabarito.</t>
  </si>
  <si>
    <t>**Research Questions:** Can Use Case Points be adapted as the primary effort driver for open source freelance software development?; Which effort drivers are most relevant for freelance OSS projects?; Which analogy adaptation method yields the most accurate predictions when combined with UCP?</t>
  </si>
  <si>
    <t>**Study Type:** empirical methods-driven study</t>
  </si>
  <si>
    <t>**Methodology:** The study was conducted in four phases: literature review to identify effort drivers, data collection from 13 OSS projects developed by 9 freelancers, extension of the ANGEL analogy-based SEE model with UCP as the main effort driver, and model validation through n-fold cross-validation. Effort drivers considered were Unadjusted Use Case Points (UUCP), programming language, application domain, and developer experience. Analogy adaptation methods tested included closest analogy, mean, median, and inverse rank weighted mean (IRWM). Performance was assessed using Magnitude of Relative Error (MRE) and Mean Magnitude of Relative Error (MMRE).</t>
  </si>
  <si>
    <t>**Main Findings:** The study found that UUCP, developer experience, programming language, and application domain are significant effort drivers for OSS freelance projects. Among the four analogy adaptation methods tested, IRWM achieved the lowest MMRE value (0.23131), outperforming closest analogy, mean, and median methods. Results demonstrated that UCP-based analogy models can provide reliable effort estimates for freelance OSS projects. The findings highlight the importance of project similarity in analogy-based estimations and the effectiveness of UCP as a size measure in early development stages.</t>
  </si>
  <si>
    <t>**Conclusions:** The extended UCP-based ANGEL model, particularly with IRWM adaptation, improves effort estimation accuracy for open source freelance software development. The study demonstrates that adapting SEE models to freelance OSS contexts is feasible and beneficial. This approach provides freelancers with a practical and cost-effective tool for predicting effort.</t>
  </si>
  <si>
    <t>**Limitations:** The dataset was limited to 13 OSS projects from 9 freelancers, which may restrict generalizability. Inefficiencies in use case diagrams could have affected UCP calculations and thus influenced estimation accuracy. The study also focused on Sri Lankan freelancers, which may limit applicability across diverse global contexts.</t>
  </si>
  <si>
    <t>Destaca dataset pequeno, foco no Sri Lanka e problemas em diagramas, o gabarito esperava limitações técnicas do ANGEL tool (peso igual, falta de handling para out-of-range/no-match).</t>
  </si>
  <si>
    <t>**Objectives:** The study aims to extend the Use Case Point (UCP) based software effort estimation model to suit the context of open-source freelance software development. It seeks to identify relevant effort drivers and adapt existing analogy-based estimation models for freelancers working under budget constraints.</t>
  </si>
  <si>
    <t>**Research Questions:** Can Use Case Points be effectively used as the main effort driver for freelance open-source software development?; How can analogy-based estimation models such as ANGEL be extended for this context?; Which adaptation method provides the most accurate effort predictions?</t>
  </si>
  <si>
    <t>**Methodology:** The research followed four phases: (1) a literature review to identify effort drivers relevant to freelance OSS projects, (2) collection of data from 13 OSS projects developed by 9 freelance developers across multiple domains, (3) calculation of Unadjusted Use Case Points (UUCP) from use case diagrams, and (4) application of the ANGEL analogy-based SEE model with adaptations. Multiple analogy adaptation strategies—closest analogy, mean, median, and inverse rank weighted mean (IRWM)—were tested and validated using n-fold cross-validation, with MMRE as the performance measure.</t>
  </si>
  <si>
    <t>**Main Findings:** The study identified UUCP, programming language, developer experience, and application domain as key effort drivers for freelance OSS projects. Among the four adaptation methods tested, the IRWM approach yielded the lowest MMRE (0.23131), outperforming closest analogy (0.2602), mean (0.25073), and median (0.25002). This indicates that IRWM provides more accurate predictions in this context. Results confirmed that extending UCP-based effort estimation with analogy methods is feasible for freelance OSS projects.</t>
  </si>
  <si>
    <t>**Conclusions:** The extended ANGEL model with UCP and IRWM adaptation is effective in estimating effort for freelance OSS projects. The study confirms the viability of UCP as a primary effort driver and shows that estimation accuracy is improved by leveraging similarity with historical projects.</t>
  </si>
  <si>
    <t>**Limitations:** The dataset was relatively small (13 projects from 9 developers) and confined to Sri Lanka; some inaccuracies may arise due to inefficiencies in use case diagrams. Broader datasets are needed for generalization.</t>
  </si>
  <si>
    <t>Fala do dataset pequeno, regionalidade (Sri Lanka) e ineficiências em diagramas e não traz as limitações técnicas do ANGEL tool apontadas no gabarito.</t>
  </si>
  <si>
    <t>**Objectives:** The paper aims to examine the defining characteristics that make open source projects successful and to explore how and why open source practices should be introduced in educational contexts. It highlights the benefits for students, industry, and academia when open source methods are integrated into learning environments.</t>
  </si>
  <si>
    <t>**Research Questions:** Why are open source projects successful?; How do open source projects function effectively?; How can open source projects and practices be introduced into classrooms, and what challenges and benefits arise?</t>
  </si>
  <si>
    <t>Não há perguntas de pesquisa explicitamente citadas nesse texto, mas as deduzidas pela IA fazem sentido.</t>
  </si>
  <si>
    <t>**Study Type:** conceptual analysis and tutorial-style review</t>
  </si>
  <si>
    <t>**Methodology:** The author draws on influential research (e.g., Bessen, Clark and Baldwin, Fogel) and professional experience within the open source industry. Key theoretical works are used to explain economic and structural principles underlying open source success, while practical issues such as governance, volunteer management, and project design are outlined. The paper also frames classroom integration as a set of open questions for discussion, rather than providing prescriptive empirical evidence.</t>
  </si>
  <si>
    <t>**Main Findings:** Open source projects thrive due to economic efficiency in managing complexity, modular design that lowers participation barriers, and option value that fosters innovation. Successful projects also evolve governance models and best practices over time. Integrating open source into education can provide students with real-world experience and enhance employability, but it raises questions about grading, project ownership, intellectual property, and continuity.</t>
  </si>
  <si>
    <t>**Conclusions:** While integrating open source projects into classrooms is challenging, the potential benefits for students, institutions, and industry are substantial. Open source can provide scalable opportunities for practical learning, and educational institutions have a unique role in expanding participation in the open source movement.</t>
  </si>
  <si>
    <t>**Objectives:** The paper explores the defining characteristics that make open source projects successful and examines the role of modularity, governance, and participation in sustaining them. It also aims to discuss the value and challenges of integrating open source practices into educational settings, with a focus on how students can benefit from real-world engagement with open source communities.</t>
  </si>
  <si>
    <t>**Research Questions:** What factors contribute to the success of open source projects?; How do governance and design principles influence project sustainability?; Why and how should open source methodologies be introduced into the classroom?; What challenges arise when adapting open source practices to educational environments?</t>
  </si>
  <si>
    <t>**Study Type:** conceptual and tutorial-style review</t>
  </si>
  <si>
    <t>**Methodology:** The paper synthesizes insights from academic literature, industry practices, and influential works such as Karl Fogel's 'Producing Open Source Software.' It draws on case examples like Google Summer of Code, Red Hat's Fedora hiring pipeline, and industry analyses by Bessen, Clark, and Baldwin to explain economic and structural factors behind open source success. The methodology is primarily discursive, highlighting both theoretical frameworks and practical considerations for educators and practitioners.</t>
  </si>
  <si>
    <t>**Main Findings:** Successful open source projects thrive on modular design and option value, which lower barriers to participation and encourage innovation. Economic incentives, rather than pure altruism, are central to the sustainability of open source ecosystems. Governance models evolve organically, balancing technical and social infrastructure to manage volunteers and intellectual property issues. Introducing students to open source can offer substantial learning and career benefits, but poses challenges around grading, project continuity, and institutional policies on intellectual property.</t>
  </si>
  <si>
    <t>**Conclusions:** Open source development has matured into a mainstream force within the software industry, offering both economic and educational value. Educational institutions stand to benefit by engaging students with open source projects, despite the challenges. By doing so, they can prepare a new generation of engineers while contributing to broader public innovation.</t>
  </si>
  <si>
    <t>**Objectives:** The paper aims to examine the characteristics that make open source projects successful and to explore the potential benefits and challenges of integrating open source methodologies into educational settings. It seeks to highlight how open source participation can provide real-world experience for students and address the shortage of engineers with open source expertise.</t>
  </si>
  <si>
    <t>**Research Questions:** What factors contribute to the success of open source projects?; How do governance and modular design influence participation and quality?; Why should students be introduced to open source projects?; How can open source practices be effectively integrated into academic environments?</t>
  </si>
  <si>
    <t>**Methodology:** The work draws on existing literature, industry experience, and influential papers on the economics and structure of open source projects. It reviews key theories such as Bessen's economic rationale for open source and Clark and Baldwin's analysis of modularity and option value, as well as Karl Fogel's practical guide to open source project management. The tutorial further frames open questions for educators considering the introduction of open source into classrooms.</t>
  </si>
  <si>
    <t>**Main Findings:** Successful open source projects often derive strength from modular design and tolerance for uncertainty, which lower entry barriers and enable innovation. Governance and community practices evolve organically, borrowing best practices across projects. Open source experience is increasingly valued by major technology firms, and projects like Google Summer of Code demonstrate its role in both skill-building and recruitment. For students, participation offers practical problem-solving experience and exposure to collaborative development. However, educational adoption faces challenges including grading, project continuity, and intellectual property management.</t>
  </si>
  <si>
    <t>**Conclusions:** While integrating open source into classrooms is complex, the potential benefits for students and institutions are significant. Open source projects provide authentic learning experiences, align with industry needs, and support the public good. Universities should take a leading role in bridging education and open source participation.</t>
  </si>
  <si>
    <t>**Objectives:** The paper aims to examine the defining characteristics that make open source projects successful and to explore whether and how students should be introduced to open source development. It emphasizes both the industry relevance of open source participation and the educational opportunities it provides.</t>
  </si>
  <si>
    <t>**Research Questions:** Why is open source software successful?; What factors determine whether an open source project thrives or fails?; How do governance and participation models affect project outcomes?; Should students be integrated into open source projects, and if so, how should this integration be structured in educational settings?</t>
  </si>
  <si>
    <t>**Study Type:** conceptual workshop/tutorial paper</t>
  </si>
  <si>
    <t>**Methodology:** The author synthesizes prior research and practical industry insights. Two influential economic and organizational studies on open source are discussed to explain success factors (complexity, modularity, and option value). Additionally, governance best practices are outlined drawing from Karl Fogel's 'Producing Open Source Software.' The discussion then shifts to classroom integration, posing key questions and scenarios rather than empirical results.</t>
  </si>
  <si>
    <t>**Main Findings:** Successful open source projects are often characterized by modular architectures and option value, which lower entry barriers and encourage innovation. Complexity makes open source approaches particularly effective, as firms with sophisticated requirements often choose to participate in open source development. Governance models, including technical and social infrastructure, play a crucial role in sustaining open source communities. Universities have an opportunity to leverage these dynamics to give students real-world experience, though challenges like grading, project management, and IP concerns remain.</t>
  </si>
  <si>
    <t>**Conclusions:** Open source has become central to the software industry, and its educational potential is significant. Despite challenges, integrating open source projects into classrooms offers great benefits for students and institutions, and educational participation could help drive the next stage of open source growth.</t>
  </si>
  <si>
    <t>**Objectives:** The paper aims to explore the defining characteristics of successful open source projects and to discuss the rationale and challenges of introducing open source methodologies into the classroom. It seeks to highlight how such projects provide valuable experiential opportunities for students while addressing industry needs for open source–skilled engineers.</t>
  </si>
  <si>
    <t>**Research Questions:** Why is open source software successful?; How do successful open source projects operate in practice?; What role should educational institutions play in introducing students to open source projects?; What are the pedagogical challenges and considerations of integrating open source into the classroom?</t>
  </si>
  <si>
    <t>**Study Type:** conceptual/tutorial paper</t>
  </si>
  <si>
    <t>**Methodology:** The author synthesizes insights from industry experience and academic literature to explain open source success factors. Influential works such as Bessen's study on economic principles, Baldwin and Clark's work on modularity and option value, and Fogel's practical guide to open source governance are used as frameworks. The discussion is organized into theoretical analysis of success drivers, practical governance models, and pedagogical issues regarding classroom integration.</t>
  </si>
  <si>
    <t>**Main Findings:** Open source succeeds not primarily through altruism, but because complexity and economic incentives favor collaborative development. Successful projects typically exhibit modularity and option value, which lower entry barriers and enable innovation. Governance structures, social infrastructure, and management practices are critical to long-term sustainability. Educational integration of open source offers high potential value, but raises challenges around grading, project continuity, intellectual property, and balancing programming with non-programming tasks.</t>
  </si>
  <si>
    <t>**Conclusions:** Introducing students to open source projects is both challenging and highly beneficial. Despite unresolved questions about pedagogy, intellectual property, and project management, open source can unlock significant educational and societal value. Universities should position themselves as active participants in the open source ecosystem to prepare students for real-world software development.</t>
  </si>
  <si>
    <t>**Objectives:** The paper aims to examine the defining characteristics of successful open source projects and to explore how and why open source methodologies should be introduced into educational settings. It seeks to address both the technical and pedagogical aspects of engaging students in open source development.</t>
  </si>
  <si>
    <t>**Research Questions:** What makes open source projects successful?; How do governance, modularity, and architecture affect project outcomes?; Should open source participation be integrated into classrooms, and if so, how?; What challenges and opportunities arise when students engage in open source projects?</t>
  </si>
  <si>
    <t>**Study Type:** conceptual/tutorial workshop</t>
  </si>
  <si>
    <t>**Methodology:** The author synthesizes insights from academic literature and industry experience, referencing influential studies such as Bessen (on economic complexity) and Clark &amp; Baldwin (on modularity and option value). The discussion draws on best practices from Karl Fogel's 'Producing Open Source Software' to highlight governance and infrastructure lessons. Instead of empirical testing, the paper frames key questions and scenarios for educators and practitioners to consider when engaging students in open source development.</t>
  </si>
  <si>
    <t>**Main Findings:** Successful open source projects thrive on modularity and tolerance of uncertainty, which lower entry barriers and encourage innovation. Complexity in requirements often makes open source more economically efficient than proprietary alternatives. Governance practices, technical infrastructure, and community management are critical to sustaining projects. Integrating students into open source can provide valuable real-world experience, but raises issues around grading, project management, and intellectual property.</t>
  </si>
  <si>
    <t>**Conclusions:** Open source integration into education, while challenging, offers significant benefits for students and institutions. Students gain practical skills and industry alignment, while universities contribute to solving broader software challenges. The open source model provides a scalable pathway for experiential learning and should be more widely embraced in academic contexts.</t>
  </si>
  <si>
    <t>**Objectives:** The paper aims to explore the defining characteristics that make open source projects successful and to evaluate the potential for integrating open source methodologies into educational environments. It also seeks to consider how students can best be introduced to open source participation and what benefits this may bring.</t>
  </si>
  <si>
    <t>**Research Questions:** Why is open source successful?; How do successful open source projects operate?; Should open source projects and methods be introduced into classrooms, and if so, how?</t>
  </si>
  <si>
    <t>**Study Type:** conceptual and tutorial-style analysis</t>
  </si>
  <si>
    <t>**Methodology:** The author draws on prior research, including seminal works by Bessen, Clark and Baldwin, and Fogel, to frame the discussion of success factors in open source projects. The analysis is supported by industry observations, case examples (e.g., Google Summer of Code, Fedora community), and theoretical perspectives on modularity, option value, and governance practices. The discussion also incorporates questions and issues raised by emerging educational practices.</t>
  </si>
  <si>
    <t>**Main Findings:** Open source success is underpinned by economic principles rather than pure altruism, with complexity favoring open models. Modularity and option value in software architecture are key factors determining project longevity and participation. Effective governance evolves organically through shared best practices in technical and social infrastructures. Educational integration of open source projects offers high potential but raises challenges regarding assessment, project management, continuity, and intellectual property concerns.</t>
  </si>
  <si>
    <t>**Conclusions:** Open source has become a cornerstone of modern software development, and its integration into education can provide valuable experiential learning. Although introducing open source into the classroom presents challenges, the potential benefits for students, institutions, and industry justify pursuing it. Educational institutions should play an active role in advancing the open source movement.</t>
  </si>
  <si>
    <t>**Objectives:** The paper aims to systematically review the current state of research on quality assurance for test cases generated by large language models (LLMs) in black-box testing. It seeks to identify critical quality attributes, evaluate existing QA frameworks, examine commonly used metrics, and highlight the challenges in assessing LLM-generated test cases.</t>
  </si>
  <si>
    <t>**Study Type:** systematic literature review</t>
  </si>
  <si>
    <t>**Methodology:** The review followed PRISMA guidelines to ensure rigor and reproducibility. Literature searches were conducted in IEEE Xplore, ACM Digital Library, Google Scholar, and SpringerLink using keywords such as 'LLMs,' 'black-box testing,' 'test case generation,' and 'QA.' From an initial pool of 19,466 studies, screening and eligibility criteria reduced the set to 78 peer-reviewed papers published between 2017 and 2024. Data were extracted into structured categories and synthesized thematically to answer the four research questions.</t>
  </si>
  <si>
    <t>Adiciona mais informações sobre a metodologia como banco de dados utilizados e numero inicial de estudos e numero final de estudos</t>
  </si>
  <si>
    <t>**Main Findings:** Six key quality attributes were identified: accuracy, coverage, completeness, effectiveness, efficiency, and traceability. QA frameworks fall into three categories: traditional frameworks, AI-enhanced frameworks (e.g., TESTPILOT, XUAT-Copilot), and hybrid approaches combining human oversight with automation. Metrics used include statement coverage, fault detection rate, execution time, and noise ratio, though standardization is lacking. Challenges include unpredictability of LLM outputs, scalability issues, absence of unified metrics, traceability limitations, and high computational costs. Human-AI collaboration emerged as crucial for improving accuracy and reliability.</t>
  </si>
  <si>
    <t>Adiciona informações como as categorias de frameworks e metricas utilizadas</t>
  </si>
  <si>
    <t>**Conclusions:** LLM-generated test cases show strong potential in enhancing coverage, efficiency, and fault detection, but their unpredictability and lack of standardized evaluation metrics hinder adoption. Hybrid frameworks that integrate human expertise with AI-driven generation currently provide the most balanced approach. Future research should prioritize standardized metrics, scalability solutions, and improved interpretability of LLM outputs.</t>
  </si>
  <si>
    <t>Não menciona completeness e traceability</t>
  </si>
  <si>
    <t>**Limitations:** Selection bias may exist due to the exclusion of non-English studies and non-peer-reviewed work. The reliance on existing literature means that rapidly emerging practices may not be fully captured. Inconsistencies in reported metrics across studies also limit comparability.</t>
  </si>
  <si>
    <t>Reliance on existing literature não está no gabarito</t>
  </si>
  <si>
    <t>**Objectives:** To systematically review and synthesize current research on quality assurance for large language model (LLM)-generated test cases in black-box testing. The study aims to identify critical quality attributes, evaluate existing QA frameworks, analyze metrics for assessing test case quality, and highlight challenges in evaluating LLM-generated outputs.</t>
  </si>
  <si>
    <t>**Methodology:** The review followed PRISMA guidelines to ensure rigor in the selection and evaluation of studies. Searches were conducted across four major databases (IEEE Xplore, ACM Digital Library, Google Scholar, and SpringerLink) using combinations of keywords related to LLMs, black-box testing, QA, and metrics. From an initial pool of 19,466 papers, a multistage screening process was applied, leading to the inclusion of 78 studies published between 2017 and 2024. Data extraction was structured around four research questions, and a thematic synthesis was used to organize findings into categories such as attributes, frameworks, metrics, and challenges.</t>
  </si>
  <si>
    <t>**Main Findings:** Six key quality attributes were consistently identified: accuracy, coverage, completeness, effectiveness, efficiency, and traceability. Traditional QA frameworks remain reliable but lack adaptability to AI-driven outputs, while AI-enhanced frameworks (e.g., TESTPILOT, XUAT-Copilot) provide higher adaptability and automation but face challenges such as unpredictability and resource intensiveness. Hybrid approaches balance automation and human oversight, showing improved fault detection but increased integration complexity. Commonly used metrics include statement coverage, fault detection rate, execution time, and noise ratio, though standardization is lacking. Challenges include unpredictable LLM outputs, scalability issues in large systems, high computational costs, limited traceability, and lack of standardized metrics.</t>
  </si>
  <si>
    <t>**Conclusions:** LLM-generated test cases demonstrate strong potential to enhance efficiency, coverage, and fault detection in black-box testing, especially when combined with human oversight. However, unpredictability, scalability, and lack of standardized evaluation metrics remain major barriers. Future research should focus on improving interpretability, establishing unified metrics, and optimizing hybrid human-AI collaboration to strengthen QA in LLM-driven test generation.</t>
  </si>
  <si>
    <t xml:space="preserve">**Limitations:** Selection was limited to English-language, peer-reviewed studies; LLM outputs remain unpredictable; evaluation metrics are inconsistent and lack standardization; hybrid approaches introduce integration complexity and scalability concerns.
</t>
  </si>
  <si>
    <t>Hybrid approaches não está no gabarito</t>
  </si>
  <si>
    <t>**Objectives:** To synthesize current research on quality assurance for test cases generated by large language models (LLMs) in black-box testing. The study aims to identify critical quality attributes, examine existing QA frameworks, analyze metrics used for evaluation, and highlight challenges and limitations.</t>
  </si>
  <si>
    <t>**Methodology:** The review followed PRISMA guidelines to ensure rigor and transparency. Searches were conducted in IEEE Xplore, ACM Digital Library, Google Scholar, and SpringerLink using keywords such as 'LLMs,' 'black-box testing,' 'test case generation,' and 'QA.' From an initial pool of 19,466 papers, screening and exclusion processes narrowed the dataset to 78 studies published between 2017 and 2024. Data were extracted with a structured form and synthesized thematically according to the research questions, focusing on quality attributes, frameworks, metrics, and challenges.</t>
  </si>
  <si>
    <t>**Main Findings:** Six key quality attributes emerged: accuracy, coverage, completeness, effectiveness, efficiency, and traceability. QA frameworks fell into three categories: traditional methods (e.g., boundary value analysis), AI-enhanced frameworks (e.g., TESTPILOT, XUAT-Copilot), and hybrid approaches that integrate human oversight with automation. Common metrics included statement coverage, fault detection rate, execution time, and noise ratio, though a lack of standardization was observed. LLMs showed strengths in efficiency and coverage but faced unpredictability, scalability issues, and limited traceability. Human-AI collaboration was emphasized as critical for improving effectiveness and reliability.</t>
  </si>
  <si>
    <t>**Conclusions:** LLMs hold strong potential for automating test case generation, improving coverage, and reducing time compared to manual methods. However, unpredictability, scalability challenges, and the lack of standardized metrics hinder consistent evaluation. Human oversight remains essential for ensuring reliability and aligning outputs with requirements. Future research should focus on standardizing metrics, enhancing interpretability, and developing scalable QA frameworks.</t>
  </si>
  <si>
    <t>**Limitations:** Selection bias due to inclusion of only English-language studies; lack of standardized metrics across reviewed research; potential gaps from excluding non-peer-reviewed or domain-specific sources.</t>
  </si>
  <si>
    <t xml:space="preserve">**Objectives:** This study aims to synthesize existing research on quality assurance for test cases generated by Large Language Models (LLMs) in black-box testing. It investigates the critical attributes, frameworks, metrics, and challenges involved in ensuring the reliability and effectiveness of LLM-generated test cases.
</t>
  </si>
  <si>
    <t xml:space="preserve">**Research Questions:** What are the critical quality attributes used to assess test cases in black-box testing?; What QA frameworks are currently used to assess LLM-generated test cases?; What metrics are used to measure the quality of LLM-generated test cases?; What are the limitations or challenges in evaluating LLM-generated test cases?
</t>
  </si>
  <si>
    <t xml:space="preserve">**Methodology:** The review followed PRISMA guidelines to ensure rigor in study selection and analysis. Searches were conducted across IEEE Xplore, ACM Digital Library, Google Scholar, and SpringerLink using predefined keywords related to LLMs, black-box testing, test case generation, QA, and metrics. An initial set of 19,466 studies was narrowed down through screening, inclusion, and exclusion criteria, ultimately resulting in 78 peer-reviewed studies being included. Data extraction was structured around the four research questions, and findings were synthesized thematically.
</t>
  </si>
  <si>
    <t>**Main Findings:** Six quality attributes—accuracy, coverage, completeness, effectiveness, efficiency, and traceability—were consistently highlighted as critical for LLM-generated test cases. QA frameworks were categorized into traditional, AI-enhanced, and hybrid approaches, with hybrid frameworks showing promise by balancing automation with human oversight. Key evaluation metrics included statement coverage, fault detection rate, execution time, and noise ratio, though a lack of standardization persists. Challenges include unpredictability of LLM outputs, scalability issues in large systems, high computational demands, limited traceability, and the absence of standardized evaluation metrics.</t>
  </si>
  <si>
    <t>**Conclusions:** The review concludes that while LLMs significantly improve efficiency and coverage in test case generation, quality assurance remains hindered by unpredictability, scalability limitations, and lack of standard metrics. Future work should focus on developing standardized evaluation methods and enhancing human-AI collaboration to improve reliability in critical testing contexts.</t>
  </si>
  <si>
    <t>**Limitations:** Potential selection bias due to exclusion of non-English publications; Lack of standardized evaluation metrics across studies limits comparability.</t>
  </si>
  <si>
    <t>**Objectives:** This paper investigates how quality assurance can be applied to test cases generated by Large Language Models (LLMs) for black-box testing. It aims to identify critical quality attributes, evaluate existing QA frameworks, examine metrics used for assessment, and highlight limitations in current approaches.</t>
  </si>
  <si>
    <t>**Methodology:** The study followed PRISMA guidelines to ensure rigorous and transparent selection. Searches were conducted across IEEE Xplore, ACM Digital Library, Google Scholar, and SpringerLink using keywords related to LLMs, test case generation, QA, and evaluation metrics. From 19,466 initial papers, a structured selection process led to 78 peer-reviewed studies being included. Data were extracted into categories corresponding to the research questions and synthesized thematically to identify trends, frameworks, metrics, and challenges.</t>
  </si>
  <si>
    <t>Adiciona mais informações sobre a metodologia como banco de dados utilizados e numero inicial de estudos e numero final de estudos porém invés de mencionar quality attributes fala sobre identify trends</t>
  </si>
  <si>
    <t>**Main Findings:** Six critical quality attributes were identified: accuracy, coverage, completeness, effectiveness, efficiency, and traceability. QA frameworks fell into three categories: traditional, AI-enhanced, and hybrid approaches, each with distinct strengths and limitations. Commonly used metrics included statement coverage, fault detection rate, execution time, and noise ratio, though a lack of standardization was noted. Challenges included unpredictability of LLM outputs, scalability issues, absence of standardized metrics, and difficulties with traceability and interpretability. Human-AI collaboration was found to improve fault detection and overall reliability.</t>
  </si>
  <si>
    <t>**Conclusions:** LLM-generated test cases offer efficiency and high coverage but present significant QA challenges. Hybrid QA frameworks that integrate human oversight with AI-driven automation appear most promising. Standardization of metrics and enhanced traceability mechanisms are needed to advance the field.</t>
  </si>
  <si>
    <t>**Limitations:** The review only included peer-reviewed studies in English, which may introduce selection bias. Additionally, inconsistencies in how studies report evaluation metrics limit cross-comparison of results.</t>
  </si>
  <si>
    <t>**Objectives:** The study aims to synthesize existing research on quality assurance for LLM-generated test cases in black-box testing. It seeks to identify critical quality attributes, examine quality assurance frameworks, evaluate the metrics used, and highlight the limitations and challenges in this area.</t>
  </si>
  <si>
    <t>**Methodology:** The review followed PRISMA guidelines to ensure rigor in selecting and analyzing studies. Searches were conducted in IEEE Xplore, ACM Digital Library, Google Scholar, and SpringerLink using relevant keywords, yielding 19,466 initial papers. After applying inclusion and exclusion criteria, 78 peer-reviewed studies published between 2017 and 2024 were included. Thematic synthesis was used to categorize findings under the four research questions.</t>
  </si>
  <si>
    <t>**Main Findings:** Six critical quality attributes were identified: accuracy, coverage, completeness, effectiveness, efficiency, and traceability. QA frameworks fell into three categories: traditional, AI-enhanced (such as TESTPILOT and XUAT-Copilot), and hybrid approaches combining automation with human oversight. Metrics commonly used include statement coverage, fault detection rate, execution time, and noise ratio, though a lack of standardization was noted. Key challenges include unpredictability of LLM outputs, scalability issues, lack of standardized metrics, and limited traceability and interpretability.</t>
  </si>
  <si>
    <t>**Conclusions:** LLM-generated test cases show potential for improving coverage, efficiency, and fault detection, particularly when combined with human oversight. However, significant challenges remain in ensuring reliability, scalability, and standardization of evaluation metrics. Future work should prioritize standard metrics and enhance human-AI collaboration to achieve robust QA outcomes.</t>
  </si>
  <si>
    <t>**Limitations:** Selection bias due to inclusion of only English-language, peer-reviewed studies; lack of standardized metrics across studies; scalability and computational constraints in real-world applications.</t>
  </si>
  <si>
    <t>scalability and computational constraints não está no gabarito</t>
  </si>
  <si>
    <t>**Objectives:** This study systematically reviews the current state of quality assurance practices for test cases generated by Large Language Models (LLMs) in black-box testing. It aims to identify critical quality attributes, examine QA frameworks, explore evaluation metrics, and highlight challenges in ensuring the quality of LLM-generated test cases.</t>
  </si>
  <si>
    <t>**Methodology:** The review followed PRISMA guidelines to ensure rigor in study selection and analysis. Literature searches were conducted across IEEE Xplore, ACM Digital Library, Google Scholar, and SpringerLink using defined keywords. From an initial pool of 19,466 papers, screening and inclusion/exclusion criteria reduced the set to 78 peer-reviewed studies published between 2017 and 2024. Data extraction and thematic synthesis were performed around four predefined research questions.</t>
  </si>
  <si>
    <t>**Main Findings:** Six key quality attributes—accuracy, coverage, completeness, effectiveness, efficiency, and traceability—were consistently identified as crucial for evaluating LLM-generated test cases. QA frameworks were classified as traditional, AI-enhanced (e.g., TESTPILOT, XUAT-Copilot), and hybrid approaches, with hybrid models showing the best balance between automation and human oversight. Metrics such as statement coverage, fault detection rate, execution time, and noise ratio were frequently used, though none are standardized. LLMs demonstrated high efficiency and coverage but faced issues with unpredictability, scalability, traceability, and compliance with regulatory standards. Human-AI collaboration was emphasized as essential for improving fault detection and ensuring alignment with requirements.</t>
  </si>
  <si>
    <t>**Conclusions:** LLM-generated test cases show promise in enhancing test coverage and efficiency, particularly when combined with human expertise. However, lack of standardized metrics, scalability constraints, and challenges in interpretability limit their broader adoption. Future work should focus on unified evaluation standards and improved human-AI collaboration to achieve reliable quality assurance in software testing.</t>
  </si>
  <si>
    <t>**Limitations:** Potential selection bias due to exclusion of non-English publications; lack of standardized metrics across studies; unpredictability and scalability challenges of LLMs noted but not fully resolved.</t>
  </si>
  <si>
    <t>scalability and LLMs não está no gabarito</t>
  </si>
  <si>
    <t>**Objectives:** The paper aims to present and evaluate an innovative pedagogical approach for graduate-level software engineering education that emphasizes ethics, reliability, and beauty as core attributes of software. It seeks to realign traditional education with modern industry needs by blending established principles, emerging research, and hands-on design and implementation practices.</t>
  </si>
  <si>
    <t>alinhou bem com o gabarito (inovação pedagógica, ética, confiabilidade e beleza, integração de seis dimensões).</t>
  </si>
  <si>
    <t>**Research Questions:** How can software engineering education be redesigned to emphasize ethical, reliable, and beautiful software?; What pedagogical strategies effectively integrate architectural and design principles with practical, real-world projects?; How do students respond to this holistic approach in terms of learning outcomes and preparedness for industry?</t>
  </si>
  <si>
    <t>acrescentou detalhes como preparedness for industry e holistic approach, que não estão explicitamente no gabarito, mas também não contradizem.</t>
  </si>
  <si>
    <t>**Study Type:** pedagogical case study</t>
  </si>
  <si>
    <t>**Methodology:** The authors designed and delivered a graduate-level advanced software engineering course structured around six dimensions: redefining goals toward ethical, reliable, and beautiful software; software as a service; sound architectural principles; best-practice design principles; rapid multi-modal prototyping; and iterative, real-world projects. The course integrated content from textbooks, IEEE SWEBOK, industry practices, and research literature. Student outcomes were assessed through course projects, feedback, and evaluations across multiple semesters.</t>
  </si>
  <si>
    <t>descreveu bem os seis eixos e mencionou avaliação por projetos, feedback e múltiplos semestres, entretanto, o gabarito destaca uso de feedback quantitativo (notas médias) e qualitativo (respostas escritas), mas o aluno omitiu os dados quantitativos específicos.</t>
  </si>
  <si>
    <t>**Main Findings:** Students responded positively to the redesigned course, highlighting the realignment of educational goals toward ethical, reliable, and beautiful software as particularly valuable. The emphasis on clean and efficient architectures, multi-modal prototyping, and practical projects helped students develop problem-solving and design skills relevant to real-world challenges. Feedback indicated that students from diverse backgrounds found the approach beneficial, bridging theoretical knowledge with applied practices. The requirement of real-world, sponsor-backed projects enhanced engagement and effectiveness, while iterative content updates improved relevance.</t>
  </si>
  <si>
    <t>Captou os benefícios (realinhamento para software ético, confiável e belo, arquiteturas limpas, projetos práticos, diversidade de estudantes, engajamento de patrocinadores) contudo, faltou a menção explícita ao blending IEEE SWEBOK, microservices e open source e aos conteúdos atualizados regularmente como apontado no gabarito.</t>
  </si>
  <si>
    <t>**Conclusions:** The innovative course design successfully advanced student understanding of ethical, reliable, and beautiful software engineering. It bridged theory with practice, improved student preparedness for industry, and received strong evaluations. The approach demonstrates that integrating ethics, design, and hands-on projects provides a comprehensive framework for modern software engineering education.</t>
  </si>
  <si>
    <t>Acertou ao dizer que o curso foi bem-sucedido, positivo, uniu teoria e prática, recebeu boa avaliação, mas não mencionou a visão futura com AI, sustentabilidade e coleta de dados para publicações futuras, presente no gabarito.</t>
  </si>
  <si>
    <t>**Limitations:** The findings are based primarily on student feedback and course evaluations; broader empirical validation is limited. The approach has been implemented in a single institution with relatively small class sizes, which may affect generalizability. Iterative tuning of content is still ongoing.</t>
  </si>
  <si>
    <t>afirmou limitações como single institution e small class sizes, que não estão no artigo nem no gabarito, o gabarito cita como limitações: dificuldade de achar patrocinadores e necessidade de atualização constante.</t>
  </si>
  <si>
    <t>**Objectives:** The paper presents an innovative pedagogical approach to teaching advanced software engineering, emphasizing the creation of ethical, reliable, and beautiful software. It seeks to realign software engineering education goals with modern industry needs by integrating proven design principles, prototyping methods, and real-world projects into the curriculum.</t>
  </si>
  <si>
    <t>**Research Questions:** How can software engineering education be redesigned to emphasize ethics, reliability, and beauty in software development?; What pedagogical methods and principles best support this vision?; How do students perceive and benefit from this reimagined course design?</t>
  </si>
  <si>
    <t>**Methodology:** The authors developed and implemented a graduate-level course structured around six dimensions: reframing software engineering goals, engineering software as a service, applying architectural and design principles, multi-modal prototyping, and a term-long real-world project. The course blended IEEE SWEBOK content, microservice architectures, and open-source practices. Students were evaluated through projects, prototypes, and feedback surveys. The analysis focused on lessons learned from three semesters, with enrollment of 18 students per term, capturing both qualitative student feedback and quantitative course evaluations.</t>
  </si>
  <si>
    <t>**Main Findings:** Students responded positively to the reframing of goals toward ethical, reliable, and beautiful software, with feedback highlighting the real-world relevance of the approach. The integration of microservices, clean architecture, and ethical design constraints fostered deeper engagement and improved problem-solving skills. Term projects with active sponsors provided high impact, demonstrating the effectiveness of iterative, real-world assignments. The course achieved strong evaluation scores (4.4/5.0 overall, 4.6/5.0 for learning outcomes). Lessons learned included the importance of tailoring course content to evolving industry trends, updating material regularly, and balancing academic rigor with hands-on practice.</t>
  </si>
  <si>
    <t>**Conclusions:** The redesigned course successfully bridges theory and practice, equipping students with skills to engineer ethical, reliable, and beautiful software. It enhances problem-solving, architectural thinking, and ethical awareness. Future iterations will expand to include software reuse, designing with AI models, sustainability, and diverse user considerations.</t>
  </si>
  <si>
    <t>**Limitations:** The study is limited to a single institution with relatively small class sizes (average 18 students per semester). Findings are based largely on student feedback and course evaluations, which may not fully capture long-term impact or generalizability.</t>
  </si>
  <si>
    <t>Cita limitações relacionadas a instituição única, turmas pequenas e dependência de feedback (não no gabarito), contudo, reconhece a limitação metodológica (feedback e avaliações), o que está em parte alinhado e faltou mencionar diretamente a dificuldade com patrocinadores e a atualização constante do conteúdo.</t>
  </si>
  <si>
    <t>**Objectives:** The paper aims to redesign graduate-level software engineering education to emphasize the creation of software that is ethical, reliable, and beautiful. It seeks to integrate modern architectural and design principles, prototyping methods, and real-world projects into pedagogy, while aligning course outcomes with both academic foundations and industry needs.</t>
  </si>
  <si>
    <t>Reflete o objetivo central (curso inovador, foco em software ético, confiável e belo, integração de seis dimensões).</t>
  </si>
  <si>
    <t>**Research Questions:** How can software engineering education be reframed to prioritize ethical, reliable, and beautiful software?; What pedagogical dimensions best prepare students for modern software challenges?; How effective is a six-dimensional framework in improving student learning and professional readiness?</t>
  </si>
  <si>
    <t>Acrescenta ênfase em professional readiness e modern challenges, que não estão no gabarito, mas não distorcem.</t>
  </si>
  <si>
    <t>**Methodology:** The authors designed and implemented an advanced graduate-level software engineering course structured around six dimensions: redefining software goals, engineering software as a service, applying architectural principles, integrating design principles, conducting multi-modal prototyping, and executing a real-world term project. The course blended SWEBOK content, industry practices, and emerging research. Data was gathered through three semesters of course delivery, including student feedback, evaluations, and project outcomes. Lessons learned were analyzed to refine the approach and identify areas for future development.</t>
  </si>
  <si>
    <t>Descreve as seis dimensões e uso de SWEBOK, práticas da indústria e pesquisa, com dados de três semestres, o gabarito destaca que a avaliação foi feita via feedback e avaliações (quantitativos e qualitativos), mas a ia ampliou para incluir "project outcomes" e "lessons learned analysis", que não são descritos como metodologia no artigo.</t>
  </si>
  <si>
    <t>**Main Findings:** Students responded positively, with average course evaluations of 4.4/5.0 and learning evaluations of 4.6/5.0. Feedback highlighted three main benefits: realignment of software engineering education goals around ethics, reliability, and beauty; emphasis on sound architectures and design practices; and integration of SWEBOK with modern microservices and open-source approaches. Projects demonstrated practical skills in SaaS design, iterative prototyping, and ethical software development. Both traditional and career-changing students reported significant gains in real-world readiness and problem-solving abilities.</t>
  </si>
  <si>
    <t>**Conclusions:** A six-dimensional framework for teaching software engineering successfully realigned educational goals with contemporary needs, fostering student engagement and skill development. The approach bridges theory and practice while emphasizing ethics and aesthetics alongside technical rigor. Future iterations will expand coverage in reuse, sustainability, AI integration, and inclusive design.</t>
  </si>
  <si>
    <t>**Limitations:** Findings are limited to one institution, three semesters, and relatively small cohorts (average enrollment 18 students). Broader validation with more diverse contexts is needed to generalize results.</t>
  </si>
  <si>
    <t>traz limitações de única instituição, três semestres, pequenas turmas, mas o artigo/gabarito cita como limitações a dificuldade em encontrar patrocinadores e a necessidade de atualização constante do conteúdo.</t>
  </si>
  <si>
    <t>**Objectives:** Present an innovative pedagogical approach for advanced software engineering education that emphasizes ethical, reliable, and beautiful software. Redefine the goals of software engineering education through six integrated dimensions that blend theory, practice, and real-world projects.</t>
  </si>
  <si>
    <t xml:space="preserve">**Research Questions:** How can software engineering education be redesigned to prioritize ethics, reliability, and beauty in software development?; What pedagogical approaches effectively integrate proven design and architecture principles, prototyping, and real-world projects?; How do students respond to a course structured around these dimensions?
</t>
  </si>
  <si>
    <t>**Study Type:** pedagogical case study with student feedback analysis</t>
  </si>
  <si>
    <t>Define como pedagogical case study with student feedback analysis, o gabarito traz apenas case study, então o extra "feedback analysis" não é incorreto, mas é redundante/inventado.</t>
  </si>
  <si>
    <t xml:space="preserve">**Methodology:** The course was designed around six dimensions: redefining educational goals, engineering software as a service, applying architectural and design principles, introducing the 6S checklist, using rapid multi-modal prototyping, and conducting a real-world project. Content was drawn from SWEBOK, modern microservice architectures, open-source practices, and contemporary research. Students completed a semester-long project with iterative checkpoints, and course feedback was collected through evaluations and written responses across multiple semesters.
</t>
  </si>
  <si>
    <t>**Main Findings:** Students responded positively, citing benefits from the focus on ethical, reliable, and beautiful software, clean and efficient architectures, and integration of SWEBOK with modern practices. The emphasis on practical, real-world problem solving improved engagement and skill development. Projects such as a national vaccine registry demonstrated the applicability of the approach to real societal issues. The iterative, sponsor-driven project structure amplified effectiveness, and course updates tailored to student needs further enhanced relevance.</t>
  </si>
  <si>
    <t>**Conclusions:** The pedagogical framework effectively bridges theory and practice by embedding ethics, reliability, and aesthetics into software engineering education. Students gained both technical and ethical foundations, increasing their readiness for industry. The model is adaptable for future challenges, particularly the integration of AI, diverse user needs, and sustainability concerns.</t>
  </si>
  <si>
    <t xml:space="preserve">**Limitations:** Limited to a single program and relatively small cohorts; long-term industry impact and scalability not yet assessed.
</t>
  </si>
  <si>
    <t>Traz como limitações único programa, pequenas turmas, impacto de longo prazo não avaliado, o gabarito cita especificamente patrocinadores difíceis de encontrar e a necessidade de atualização constante do conteúdo, que não aparecem aqui.</t>
  </si>
  <si>
    <t>**Objectives:** The paper aims to present an innovative pedagogical approach for a graduate-level software engineering course that emphasizes ethical, reliable, and beautiful software. It seeks to realign software engineering education goals with modern needs, integrating principles of service-oriented design, proven architectural and design practices, multi-modal prototyping, and real-world projects. The objective is to better prepare students for evolving industry demands while embedding ethical and aesthetic considerations into the core of software engineering education.</t>
  </si>
  <si>
    <t>Alinha com o objetivo central (curso inovador, foco em ética, confiabilidade e beleza, integração das seis dimensões).</t>
  </si>
  <si>
    <t xml:space="preserve">**Research Questions:** How can software engineering education be redesigned to emphasize ethical, reliable, and beautiful software?; What pedagogical methods best integrate architectural principles, design practices, and prototyping with real-world projects?; How effective is this approach in enhancing student learning and industry readiness?
</t>
  </si>
  <si>
    <t>adiciona preparar estudantes para demandas da indústria como objetivo explícito, o que não aparece no gabarito (é apenas um efeito implícito</t>
  </si>
  <si>
    <t xml:space="preserve">**Methodology:** The authors describe the design and implementation of an advanced graduate-level software engineering course structured around six dimensions: redefining software engineering goals, engineering software as a service, applying architectural principles, applying sound design principles, rapid multi-modal prototyping, and a semester-long real-world project. Course content blended IEEE SWEBOK, service-oriented and microservice architectures, SOLID principles, prototyping practices, and open-source tools. The course was iteratively refined over three semesters, with effectiveness assessed through student feedback, evaluations, and performance in project-based learning.
</t>
  </si>
  <si>
    <t>Descreveu as seis dimensões, citou SWEBOK, SOA/microservices, SOLID, prototipagem, open-source, avaliação por feedback e projetos, o gabarito menciona avaliações quantitativas e qualitativas; o aluno incluiu “performance in project-based learning”, que não é apontado no artigo como método de análise.</t>
  </si>
  <si>
    <t>**Main Findings:** Students reported highly positive feedback, highlighting the value of aligning education with ethical, reliable, and beautiful software goals. They appreciated the integration of sound architectural and design principles with practical, incremental, and real-world problem-solving. Projects such as a national vaccine registry demonstrated the relevance and applicability of the approach. Lessons learned included the importance of industry sponsorship for projects, tailoring course content each semester for relevance, and balancing academic reflection with hands-on practice. Course evaluations averaged 4.4/5.0, with learning effectiveness at 4.6/5.0.</t>
  </si>
  <si>
    <t>**Conclusions:** The approach successfully bridges theoretical foundations with practical application, reinforcing ethical, reliable, and aesthetic values in software engineering. It prepares students for industry needs by combining technical rigor with ethical responsibility and usability. The authors plan to evolve the course further with greater emphasis on reuse, AI integration, sustainability, and designing for diverse users.</t>
  </si>
  <si>
    <t>**Limitations:** Not explicitly stated; however, the study is limited by reliance on student self-reported feedback, a relatively small sample size (average enrollment of 18 per semester), and implementation within a single graduate program.</t>
  </si>
  <si>
    <t>trouxe sample size pequeno, única instituição, autodeclaração dos alunos como limitações e no gabarito indica: dificuldade de encontrar patrocinadores e necessidade de atualização contínua do conteúdo.</t>
  </si>
  <si>
    <t xml:space="preserve">**Objectives:** The paper presents an innovative pedagogical approach to teaching graduate-level software engineering by emphasizing the development of software that is ethical, reliable, and beautiful. It aims to realign software engineering education with industry needs and ethical imperatives while blending established principles, modern architectures, and emerging research.
</t>
  </si>
  <si>
    <t>**Research Questions:** How can software engineering education be restructured to emphasize ethics, reliability, and beauty in software design and development?; What pedagogical methods best prepare students to bridge the gap between academic training and industrial needs?; How can real-world projects and prototyping enhance student learning and readiness?</t>
  </si>
  <si>
    <t>**Methodology:** The approach was implemented in a graduate-level advanced software engineering course at UMBC, structured around six dimensions: redefining educational goals; teaching software as a service; applying architectural and design principles; multi-modal prototyping; and a term-long real-world project. Course design drew on IEEE SWEBOK, SOLID principles, microservice architectures, and prior research. Evaluation was based on student feedback, course evaluations, and observations of project outcomes across three semesters.</t>
  </si>
  <si>
    <t>Descreveu as seis dimensões, uso de SWEBOK, SOLID, microservices, avaliações por feedback e projetos, no entanto, acrescentou “observations of project outcomes” como método de avaliação, o que não está no artigo nem no gabarito.</t>
  </si>
  <si>
    <t>**Main Findings:** Students responded positively to the holistic focus on ethics, reliability, and aesthetics in software, reporting enhanced understanding of real-world practices. Hands-on incremental projects improved problem-solving skills and practical readiness. Blending theory with modern practices, including prototyping and microservices, yielded effective engagement across diverse student populations. Industry-aligned approaches, such as collaboration with sponsors and use of SaaS architectures, were particularly effective in bridging the academic–industry gap.</t>
  </si>
  <si>
    <t>**Conclusions:** The course successfully demonstrated that integrating ethical, reliable, and beautiful design principles enhances the educational experience and better prepares students for professional practice. Iterative, real-world projects supported by modern design frameworks and prototyping proved highly effective. Future refinements will include expanding topical coverage, integrating AI-related design considerations, and deepening emphasis on sustainability and diversity.</t>
  </si>
  <si>
    <t>**Limitations:** The study is limited by its context in a single institution and course, with relatively small cohorts. Results rely heavily on student feedback and evaluations, lacking long-term measures of industry impact.</t>
  </si>
  <si>
    <t>apontou limitações como única instituição, turmas pequenas, ausência de medidas de impacto de longo prazo, que não aparecem no artigo e no gabarito traz: dificuldade em conseguir patrocinadores e necessidade de atualização contínua.</t>
  </si>
  <si>
    <t xml:space="preserve">**Objectives:** The paper presents an innovative pedagogical framework for teaching graduate-level software engineering that emphasizes ethical, reliable, and beautiful software. It aims to realign the goals of software engineering education with current industry and societal needs, integrating sound design, architecture, and prototyping practices with ethical and aesthetic considerations.
</t>
  </si>
  <si>
    <t>**Research Questions:** How can software engineering education be restructured to prioritize ethics, reliability, and beauty?; What pedagogical dimensions and methods effectively support this goal?; How do students respond to such an educational framework in practice?</t>
  </si>
  <si>
    <t xml:space="preserve">**Methodology:** The authors designed and implemented a graduate-level advanced software engineering course based on six pedagogical dimensions: redefining educational goals around ethical, reliable, and beautiful software; adopting software as a service; applying architectural and design principles; utilizing rapid multi-modal prototyping; and developing a semester-long real-world project. Data was gathered from course implementation across multiple semesters, including student projects, feedback, and evaluations. The approach blended established sources such as IEEE SWEBOK, service-oriented and microservice architectures, design principles like SOLID and SOFA, and ethical frameworks.
</t>
  </si>
  <si>
    <t>Menciona as seis dimensões e as fontes (SWEBOK, microservices, SOLID, SOFA, ética), está correto no geral, mas amplia a metodologia ao incluir “student projects” como fonte de dados — no artigo, os dados vêm de feedback e avaliações; os projetos eram parte da experiência, mas não descritos como método de coleta/avaliação.</t>
  </si>
  <si>
    <t>**Main Findings:** Students responded positively, highlighting the importance of re-centering software engineering goals around ethics, reliability, and beauty. The course's integration of architectural principles, sound design practices, and multi-modal prototyping enhanced both practical skills and theoretical understanding. The term-long projects provided hands-on experience in solving real-world problems with iterative, incremental methods, and sponsors amplified project relevance and quality. The course successfully bridged gaps between academic teaching and industry needs, equipping students with skills applicable to modern software-intensive products.</t>
  </si>
  <si>
    <t>**Conclusions:** The redesigned course demonstrated that embedding ethics, reliability, and beauty as core educational goals is both feasible and impactful. Students gained a holistic understanding of software engineering that extended beyond technical proficiency to include ethical and aesthetic dimensions. The framework showed potential for future adaptation, particularly in areas such as AI integration, design for diverse users, and sustainability.</t>
  </si>
  <si>
    <t>**Limitations:** Not explicitly stated; however, the paper implies challenges such as difficulties in securing sponsors for projects, the need for continuous content updates to remain relevant, and the resource effort required for tailoring course material semester by semester.</t>
  </si>
  <si>
    <t>**Objectives:** This paper proposes a comprehensive method for evaluating software quality and reliability using complex network theory. It aims to measure software reliability through structural characteristics, module-level risk, and historical defect analysis to provide a more accurate and actionable evaluation than traditional approaches.</t>
  </si>
  <si>
    <t>**Research Questions:** How can software reliability be effectively evaluated using complex network theory?; What structural features and module-level factors most significantly impact reliability risk?; Can historical defect data combined with machine learning improve prediction of high-risk modules?</t>
  </si>
  <si>
    <t>**Study Type:** methodological framework with case-based validation</t>
  </si>
  <si>
    <t>**Methodology:** The authors abstract software into a network where nodes represent modules and edges represent relationships, then evaluate structural quality through modularity, hierarchy, complexity, and fault propagation. Module-level reliability risk is assessed by combining importance (global and local structural features) with complexity and change rates. Finally, historical defect data is analyzed using machine learning methods to predict high-risk modules in the current version. Together, these three perspectives—structural evaluation, module-level risk, and defect prediction—form a comprehensive framework for software reliability assessment.</t>
  </si>
  <si>
    <t>Problema de prompt, a IA descreveu corretamente a metodologia proposta mas não é o que a gente queria saber com essa pergunta</t>
  </si>
  <si>
    <t>**Main Findings:** The proposed approach enables a multidimensional evaluation of software reliability, combining structural quality, module risk, and defect prediction. It highlights how network-based features like modularity and fault propagation can reflect systemic vulnerabilities. The method identifies key modules whose complexity and change frequency significantly increase reliability risks. Machine learning applied to historical defect data improves prediction of defect-prone modules, offering more efficient targeting for reliability improvements. Overall, the framework guides attention to both systemic and localized weaknesses in software systems.</t>
  </si>
  <si>
    <t>**Conclusions:** The study concludes that software reliability can be comprehensively assessed by integrating structural analysis, module-level risk evaluation, and defect prediction. This approach provides a qualitative and quantitative basis for identifying weaknesses, guiding software improvement, and complementing traditional reliability models.</t>
  </si>
  <si>
    <t>O método proposto não tem o objetivo de complementar os métodos tradicionais, ele é uma alternativa</t>
  </si>
  <si>
    <t>**Limitations:** Not explicitly stated; however, the method depends on the availability of detailed historical defect data and assumes that complex network parameters adequately model software structure.</t>
  </si>
  <si>
    <t>Responde correto e depois dá sua opinião sobre as limitações do artigo</t>
  </si>
  <si>
    <t>**Objectives:** The paper proposes a comprehensive method for evaluating software reliability using complex network theory. It aims to measure reliability by considering structural quality, module importance and risk, and defect prediction. The objective is to create a more holistic and efficient evaluation approach compared to traditional reliability models.</t>
  </si>
  <si>
    <t>**Research Questions:** How can software be abstracted into a network to evaluate its structural quality?; How can the importance and reliability risks of modules be identified and quantified?; How can historical defect information be used to predict high-risk modules in current versions?; Can combining structural, risk-based, and defect-oriented analyses improve overall software reliability evaluation?</t>
  </si>
  <si>
    <t>O artigo não apresenta uma lista de "perguntas de pesquisa" (research questions). A IA inventou perguntas que são tematicamente consistentes com o conteúdo do artigo, mas que não existem no texto-fonte.</t>
  </si>
  <si>
    <t>**Study Type:** methods-driven empirical study</t>
  </si>
  <si>
    <t>a adição do termo "empirical" é uma extrapolação não fundamentada diretamente pelo texto, que se concentra em descrever o método, e não em apresentar os resultados de sua aplicação empírica.</t>
  </si>
  <si>
    <t>**Methodology:** The authors designed a three-part evaluation framework inspired by health diagnosis: (1) abstracting software into a network to measure modularity, hierarchy, complexity, and fault propagation; (2) identifying key modules through structural and interaction-based metrics and assessing their reliability risks based on complexity and change rates; and (3) applying machine learning on historical defect data to predict high-risk modules. The approach integrates structural analysis, module-level assessment, and defect prediction for a comprehensive reliability evaluation.</t>
  </si>
  <si>
    <t>**Main Findings:** The proposed method allows software reliability to be evaluated from multiple perspectives, including structural integrity, critical module risks, and defect likelihood. Using network-based parameters, the framework provides insights into weaknesses that traditional time-to-failure models may overlook. High-risk modules can be effectively identified by combining network metrics with historical defect data. The method enhances efficiency and guides targeted software improvements.</t>
  </si>
  <si>
    <t>**Conclusions:** By combining network-based structural evaluation, module risk analysis, and machine learning-based defect prediction, the method provides a holistic framework for assessing software reliability. This approach offers practical guidance for identifying weaknesses and improving system quality. It represents a more flexible and comprehensive alternative to traditional reliability evaluation methods.</t>
  </si>
  <si>
    <t>**Objectives:** The paper proposes a comprehensive method for evaluating software quality and reliability using complex network theory. It seeks to measure structural quality, module-level reliability risks, and defect-prone modules to provide a multi-perspective assessment of software reliability.</t>
  </si>
  <si>
    <t>**Research Questions:** How can software reliability be evaluated more comprehensively beyond traditional failure-time models?; What network-based structural metrics best capture software quality?; How can key modules and their reliability risks be identified?; Can historical defect information and machine learning improve prediction of high-risk modules?</t>
  </si>
  <si>
    <t>**Study Type:** methodological framework with conceptual case analysis</t>
  </si>
  <si>
    <t>**Methodology:** The method abstracts software into a complex network of nodes (modules) and edges (dependencies) to analyze modularity, hierarchy, complexity, and fault propagation. It then identifies key modules using both global and local structural importance and assesses their reliability risks through code complexity and change frequency. Finally, it incorporates historical defect data and machine learning techniques to predict modules with high defect risks in current versions. The three perspectives—structural quality, module reliability risk, and defect risk prediction—are combined to form a comprehensive evaluation framework.</t>
  </si>
  <si>
    <t>**Main Findings:** The approach shows that software networks exhibit small-world and scale-free properties, allowing the use of network metrics for reliability assessment. Structural quality is reflected by modularity and hierarchy, while fault propagation highlights vulnerability to defect spread. Important modules can be ranked based on their centrality and change frequency, which correlate with reliability risk. Machine learning applied to historical defect data can identify defect-prone modules, enhancing prediction accuracy. By integrating these aspects, the framework provides a multi-level understanding of software reliability and highlights weaknesses for targeted improvement.</t>
  </si>
  <si>
    <t>A IA usa o termo técnico "centrality", que não é mencionado no texto</t>
  </si>
  <si>
    <t>**Conclusions:** The proposed network-based method enables a more comprehensive and multi-angle evaluation of software reliability compared to traditional approaches. It combines structural, risk-based, and defect-focused perspectives to provide actionable insights into improving software quality. This holistic evaluation can guide developers in prioritizing critical modules and mitigating reliability risks.</t>
  </si>
  <si>
    <t>**Limitations:** The paper does not report empirical validation on large-scale datasets; evaluation remains conceptual and dependent on available defect history. The effectiveness of machine learning predictions may vary depending on the quality and quantity of historical defect data.</t>
  </si>
  <si>
    <t>O artigo não tem nenhuma limitação explicitamente reconhecida</t>
  </si>
  <si>
    <t>**Objectives:** The paper proposes a comprehensive method to evaluate software reliability using complex network theory. It aims to integrate structural quality assessment, module importance and risk analysis, and defect prediction into a unified framework that captures multiple dimensions of software reliability.</t>
  </si>
  <si>
    <t>**Research Questions:** How can software reliability be evaluated more comprehensively beyond traditional failure-time models?; How can complex network theory be used to measure structural quality of software?; How can module importance, reliability risk, and historical defect data be combined to identify high-risk modules?</t>
  </si>
  <si>
    <t>**Study Type:** methodological and analytical study</t>
  </si>
  <si>
    <t>A adição do termo analítico é uma alucinação parcial. O artigo propõe um método que é analítico por natureza, mas o artigo em si não é um estudo analítico.</t>
  </si>
  <si>
    <t>**Methodology:** The method abstracts software into a network where modules and their relationships are nodes and edges, then evaluates structural quality through modularity, hierarchy, complexity, and fault propagation. It identifies important modules using global and local network features and assesses their reliability risk by considering module complexity and change frequency. Finally, historical defect data are combined with module parameters in machine learning models to predict high defect risk modules in current software versions.</t>
  </si>
  <si>
    <t>**Main Findings:** The network-based approach provides a multidimensional view of software reliability, highlighting structural weaknesses, critical modules, and likely defect-prone areas. Structural quality measures such as modularity and fault propagation reveal the robustness of the system architecture. Module-level analysis shows that complexity and change frequency strongly influence reliability risk. Machine learning applied to historical defect data improves the ability to predict high-risk modules in current versions.</t>
  </si>
  <si>
    <t>**Conclusions:** Evaluating software reliability through a software network offers a more comprehensive, multi-angle perspective than traditional models. By combining structure, module risk, and defect prediction, the method provides actionable insights to guide reliability improvement.</t>
  </si>
  <si>
    <t>**Limitations:** Not explicitly stated, but the approach depends on the availability of detailed software structural data and sufficient historical defect records, and it may vary in accuracy depending on the software domain and chosen machine learning techniques.</t>
  </si>
  <si>
    <t>**Objectives:** The paper proposes a comprehensive method to evaluate software reliability using complex network theory. It aims to assess software reliability from multiple perspectives including structural quality, module importance and risks, and historical defect information.</t>
  </si>
  <si>
    <t>**Research Questions:** How can complex network theory be applied to model software reliability?; Which structural and modular features most influence software reliability risk?; How can historical defect data and machine learning improve defect risk prediction in current software versions?</t>
  </si>
  <si>
    <t>**Study Type:** methodological/analytical study</t>
  </si>
  <si>
    <t>**Methodology:** The approach abstracts software into a network of nodes (modules or elements) and edges (relationships), evaluating structure through modularity, hierarchy, complexity, and fault propagation. It identifies important modules by analyzing both global and local influence, then measures their reliability risks through complexity and change rates. Finally, it uses historical defect data and machine learning to predict high defect risk modules in new software versions.</t>
  </si>
  <si>
    <t>**Main Findings:** Software networks exhibit structural characteristics that can be quantified to evaluate quality and reliability. Key modules exert disproportionate influence on overall system reliability, and their risks can be estimated through structural and historical change data. Machine learning models can effectively use defect history to predict high-risk modules, enabling targeted improvements. The combined approach provides a multi-angle reliability evaluation framework that integrates structure, risk, and defect perspectives.</t>
  </si>
  <si>
    <t>**Conclusions:** The proposed method offers a comprehensive and practical framework for software reliability evaluation, bridging macro-level structure, micro-level module risks, and defect history. It highlights weaknesses affecting reliability and provides actionable insights for improving software systems.</t>
  </si>
  <si>
    <t>**Objectives:** The paper proposes a new method to comprehensively evaluate software reliability by leveraging complex network theory. It aims to assess structural quality, module reliability risks, and defect risks to provide a more holistic and predictive approach than traditional reliability models.</t>
  </si>
  <si>
    <t>**Research Questions:** How can complex network theory be applied to evaluate software structural quality?; How can important modules and their reliability risks be identified within software systems?; How can historical defect data be used to predict high-risk modules in current versions?</t>
  </si>
  <si>
    <t>**Study Type:** methods-driven empirical framework proposal</t>
  </si>
  <si>
    <t>**Methodology:** The authors abstract software into a complex network where modules and their relationships are represented as nodes and edges. Structural quality is evaluated using modularity, hierarchy, complexity, and fault propagation, benchmarked against open-source software libraries. Module reliability risk is assessed by analyzing global and local importance, structural and code complexity, and historical change rates. Finally, historical defect information is combined with machine learning models to predict high defect risk modules in current software versions.</t>
  </si>
  <si>
    <t>**Main Findings:** The proposed framework captures reliability from three perspectives: global structural quality, module-level reliability risks, and defect risk prediction. Structural metrics highlight that modularity, hierarchy, and fault propagation are critical to software robustness. Module-level analysis identifies key classes whose complexity and frequent changes correlate with higher defect introduction. Machine learning methods enhance prediction of defect-prone modules, allowing targeted reliability improvements. Together, these layers offer a more comprehensive reliability evaluation than traditional hardware-inspired approaches.</t>
  </si>
  <si>
    <t>**Conclusions:** The method integrates structural evaluation, reliability risk analysis, and defect prediction to assess software reliability comprehensively. It provides qualitative and quantitative insights into weak points, supporting proactive reliability improvement. The approach aligns software reliability evaluation with the unique structural and evolutionary properties of software systems.</t>
  </si>
  <si>
    <t>Não é explicitamente citado que se utilizam processos quantitativos</t>
  </si>
  <si>
    <t>**Limitations:** Not explicitly stated; potential limitations include reliance on availability and quality of historical defect data, dependency on the accuracy of machine learning models, and the challenge of generalizing thresholds across diverse software types.</t>
  </si>
  <si>
    <t>**Objectives:** To propose a comprehensive method for evaluating software quality and reliability by leveraging complex network theory. The approach seeks to address limitations of traditional reliability models by focusing on software's inherent structural and defect-related characteristics.</t>
  </si>
  <si>
    <t>**Research Questions:** How can software reliability be effectively evaluated using network-based structural metrics?; Which modules are most critical to overall reliability risk?; Can historical defect data and machine learning be used to identify high-risk modules in current software versions?</t>
  </si>
  <si>
    <t>**Study Type:** methodological framework with case analysis</t>
  </si>
  <si>
    <t>**Methodology:** The paper abstracts software systems into networks, where modules are nodes and dependencies are edges, and evaluates structural quality in terms of modularity, hierarchy, complexity, and fault propagation. It identifies key modules by measuring global and local importance and assesses their reliability risks by combining structural and historical change metrics. Finally, it applies machine learning techniques to historical defect datasets to predict high defect risk modules in the current version of the software.</t>
  </si>
  <si>
    <t>**Main Findings:** The proposed framework integrates three complementary perspectives—structural quality, reliability risk of important modules, and defect prediction—to evaluate software reliability more comprehensively. Structural evaluation identifies strengths and weaknesses in modularity and hierarchy. Module-level analysis highlights key areas where complexity and frequent changes raise defect risk. Machine learning applied to defect histories provides predictive insights into current high-risk modules. Together, these enable both macroscopic and microscopic evaluation of software reliability.</t>
  </si>
  <si>
    <t>**Conclusions:** The method provides a more holistic and efficient evaluation of software reliability than traditional models, offering insights that can guide targeted software improvements. By combining structural analysis, module risk assessment, and defect prediction, it identifies weaknesses affecting reliability and directs attention to high-impact areas.</t>
  </si>
  <si>
    <t>**Objectives:** The paper aims to improve the efficiency and quality of safety testing by leveraging large language models (LLMs) to automate the extension of state diagrams and optimize test case generation. It seeks to reduce reliance on the personal experience of test engineers and enhance the comprehensiveness of safety analysis, particularly in the aerospace domain.</t>
  </si>
  <si>
    <t>Adiciona como objetivo "reduce reliance on personal experience"</t>
  </si>
  <si>
    <t>**Research Questions:** How can LLMs be used to extend safety state diagrams with critical safety properties?; Can LLMs improve the efficiency and reliability of test case generation compared to traditional genetic algorithms?; To what extent does the proposed method reduce execution rounds and enhance stability in safety testing?</t>
  </si>
  <si>
    <t>**Study Type:** experimental methods-driven study</t>
  </si>
  <si>
    <t>**Methodology:** The study first extracted safety criteria from aviation standards (DO-178C and ARP 4754A) and used them with LLMs to extend traditional state diagrams with safety-related states. A fine-tuned Qwen2-72B-Instruct model was employed with LoRA technology and prompt engineering strategies to generate extended diagrams. For test case generation, an edge-first depth traversal algorithm was combined with genetic algorithms, with LLMs guiding hyper-parameter generation and individual mutation operations. The method was experimentally validated using an aviation altitude control system as a case study.</t>
  </si>
  <si>
    <t>**Main Findings:** The LLM-extended state diagrams successfully incorporated four types of safety properties and were verified for consistency using UPPAAL. Test case generation integrating LLM-optimized genetic algorithms significantly improved efficiency, with execution rounds reduced by up to 90% compared to traditional methods. Among different configurations, LLM-driven individual mutation achieved the best performance, showing both efficiency and stability across complex paths. Results demonstrated that LLM interventions consistently outperformed both standard and improved genetic algorithms.</t>
  </si>
  <si>
    <t>Adiciona uma menção do metodo UPPAAL</t>
  </si>
  <si>
    <t>**Conclusions:** The proposed method effectively automates safety state diagram extension and test case generation, reducing reliance on manual expertise and improving safety testing coverage and efficiency. By optimizing genetic algorithms through LLMs, the approach significantly reduces computational costs and enhances stability, making it suitable for diverse safety-critical systems.</t>
  </si>
  <si>
    <t>Adiciona reduções de custo como resultado de otimização de algoritmos geneticos</t>
  </si>
  <si>
    <t>**Limitations:** Current safety criteria are limited to four main categories; expansion to additional aspects such as control and processing logic is needed. The test path generation process does not yet account for contextual dependencies between transitions. The evaluation was limited to a single case study in the aerospace domain, requiring broader validation.</t>
  </si>
  <si>
    <t>**Objectives:** To enhance the efficiency and quality of safety testing by leveraging large language models (LLMs) to extend state diagrams with safety properties and to optimize test case generation. The study seeks to reduce reliance on tester experience, automate safety state diagram extensions, and improve genetic algorithm performance for generating test cases.</t>
  </si>
  <si>
    <t>**Research Questions:** How can safety state diagrams be systematically extended using LLMs?; How can genetic algorithms be optimized with LLMs to improve test case generation?; What improvements in efficiency and coverage can be achieved compared to traditional approaches?; How does this approach impact the reliability and comprehensiveness of safety testing?</t>
  </si>
  <si>
    <t>**Study Type:** experimental</t>
  </si>
  <si>
    <t>**Methodology:** The authors proposed a framework that integrates safety criteria extracted from aviation standards (DO-178C, ARP 4754A) into state diagram extensions using a fine-tuned Qwen2-72B-Instruct LLM with LoRA optimization. Two types of prompts (context-rich and context-free) were tested to guide the extension process. For test case generation, edge-first depth traversal was applied to generate test paths, and genetic algorithms were optimized using LLMs for hyper-parameter tuning and individual mutation processes. The method was experimentally evaluated on an aviation altitude control system, with safety-extended state diagrams validated using UPPAAL and manual review, and genetic algorithm performance compared across six variants.</t>
  </si>
  <si>
    <t>Gabarito não menciona dois tipos de prompt</t>
  </si>
  <si>
    <t>**Main Findings:** The approach successfully extracted four categories of safety criteria (data range, data timing, data frame/communication, fault handling) and applied them to extend state diagrams. LLM-augmented extensions reduced omissions caused by human testers and produced more comprehensive safety coverage. In test case generation, the LLM-optimized genetic algorithm significantly reduced execution rounds—up to 90% reduction compared to classical genetic algorithms and 77.32% average reduction compared to other improved variants. The method demonstrated higher stability, better path coverage, and improved consistency of test cases, while also reducing manual parameter tuning efforts.</t>
  </si>
  <si>
    <t xml:space="preserve">Adiciona as 4 categorias de safety criteria </t>
  </si>
  <si>
    <t>**Conclusions:** The integration of LLMs into safety state diagram extension and genetic algorithm optimization substantially improves efficiency, coverage, and reliability of safety testing. The method reduces dependence on tester expertise, enhances automation, and is generalizable to systems with similar safety requirements. Future work will expand safety criteria sets, address context-aware path generation, and build larger test sample libraries.</t>
  </si>
  <si>
    <t>Adiciona parte da limitação nesta resposta como future work</t>
  </si>
  <si>
    <t>**Limitations:** The current safety criteria set is limited to four categories and may not cover all relevant safety aspects; context-aware path generation is not fully addressed, leading to potential incomplete execution conditions; scalability and generalization to domains beyond aviation require further validation.</t>
  </si>
  <si>
    <t>**Objectives:** The paper proposes a method to enhance software safety testing efficiency by leveraging large language models (LLMs) to automatically extend state diagrams with safety properties and optimize genetic algorithms for test case generation. It aims to reduce reliance on test engineers' personal experience and improve both coverage and efficiency in safety-critical domains such as aerospace.</t>
  </si>
  <si>
    <t>**Research Questions:** How can LLMs be used to extend state diagrams with safety properties derived from aviation standards?; How can test case generation efficiency be improved by integrating LLMs into genetic algorithms?; To what extent does this approach reduce execution time and enhance reliability compared to traditional methods?</t>
  </si>
  <si>
    <t>**Methodology:** The authors extracted safety criteria from aviation standards (DO-178C and ARP 4754A) and categorized them into four groups. They fine-tuned the Qwen2-72B-Instruct model with LoRA to extend state diagrams by integrating safety properties. For test case generation, they combined an edge-first depth traversal algorithm with genetic algorithms, using LLMs to optimize hyper-parameters and individual mutation processes. The approach was evaluated on an aviation altitude control system and benchmarked against six genetic algorithm variants.</t>
  </si>
  <si>
    <t>**Main Findings:** The extended state diagrams systematically incorporated safety states, validated with UPPAAL and manual review. Experimental results showed that LLM-enhanced genetic algorithms significantly reduced execution rounds, with individual mutation optimization achieving the best efficiency and stability. On average, execution rounds were reduced by about 77.32%, with a maximum reduction of approximately 94.31%. Compared to traditional approaches, the proposed method improved path coverage, generated more independent test paths, and minimized tester dependency.</t>
  </si>
  <si>
    <t>Adiciona menção do metodo UPPAAL</t>
  </si>
  <si>
    <t>**Conclusions:** The study demonstrates that LLMs can effectively extend safety state diagrams and optimize test case generation, substantially improving testing efficiency and reliability. The approach is applicable to systems with diverse safety properties and reduces reliance on manual expertise, making it valuable for safety-critical domains.</t>
  </si>
  <si>
    <t>**Limitations:** The current safety criteria set is limited to four categories with 25 sub-items; test path generation does not yet account for contextual relationships between transitions.</t>
  </si>
  <si>
    <t>**Objectives:** The paper aims to improve the efficiency and quality of safety testing by leveraging large language models (LLMs) to automate state diagram extensions and test case generation. It seeks to reduce reliance on testers' personal experience and to optimize genetic algorithms for generating effective test inputs.</t>
  </si>
  <si>
    <t>**Research Questions:** Can LLMs be used to systematically extend safety state diagrams based on established aviation safety standards?; How effective are LLMs in optimizing genetic algorithms for generating test cases compared to traditional methods?; Does the integration of LLMs improve the efficiency and reliability of safety testing in complex systems?</t>
  </si>
  <si>
    <t>**Study Type:** experimental methodological study with applied evaluation</t>
  </si>
  <si>
    <t>**Methodology:** The study extracted safety criteria from DO-178C and ARP 4754A aviation standards, categorizing them into four groups. It fine-tuned the Qwen2-72B-Instruct model using LoRA for state diagram safety extensions and designed prompt strategies (with and without context). Test case generation was achieved through edge-first depth traversal to create test paths and a genetic algorithm to infer input data. LLMs were used to optimize hyperparameters and mutation operations in the genetic algorithm. Evaluation was conducted on an aviation altitude control system using six different genetic algorithm variants, with validation supported by UPPAAL and manual checks.</t>
  </si>
  <si>
    <t>**Main Findings:** LLMs successfully automated the extension of state diagrams with safety properties, reducing omissions caused by inexperienced testers. The combined approach of LLMs and genetic algorithms significantly improved efficiency, reducing execution rounds by up to 90% compared to traditional methods. Among tested methods, LLM-guided individual mutation outperformed both traditional genetic algorithms and hyperparameter-only optimization in stability and efficiency. The approach improved path coverage, reliability of generated test cases, and reduced manual workload in safety testing.</t>
  </si>
  <si>
    <t>Adiciona menções de diminuir dependencias de experiencia</t>
  </si>
  <si>
    <t>**Conclusions:** The proposed method effectively automates safety state diagram extensions and test case generation, enhancing efficiency and accuracy in safety testing. LLMs provide significant improvements in optimizing genetic algorithms, making the approach applicable to safety-critical systems across domains. This reduces reliance on human expertise and accelerates testing processes.</t>
  </si>
  <si>
    <t>**Limitations:** The study focused primarily on aviation safety standards and a single case system (altitude control), which may limit generalizability. Safety criteria were limited to four main categories, and current path generation methods did not fully account for contextual dependencies between transitions.</t>
  </si>
  <si>
    <t xml:space="preserve">**Objectives:** The study aims to enhance the efficiency and reliability of software safety testing by leveraging large language models (LLMs) to automate the extension of safety state diagrams and optimize test case generation. It seeks to reduce reliance on test engineers' personal experience and improve coverage, accuracy, and efficiency in safety-critical domains, particularly in aviation systems.
</t>
  </si>
  <si>
    <t>**Research Questions:** How can LLMs be used to automatically extend safety state diagrams based on aviation safety standards?; How can LLMs optimize genetic algorithms to generate efficient and reliable test cases?; To what extent does this approach improve efficiency and reduce execution rounds compared to traditional methods?</t>
  </si>
  <si>
    <t>**Study Type:** experimental and methodological research</t>
  </si>
  <si>
    <t>**Methodology:** The authors extracted safety properties from aviation standards (DO-178C, ARP 4754A) and categorized them into four groups. They fine-tuned Qwen2-72B-Instruct using LoRA for domain-specific tasks, designed prompt strategies, and applied the LLM to extend state diagrams systematically. For test case generation, they integrated edge-first depth traversal with genetic algorithms, further optimized by LLM-driven hyperparameter tuning and guided mutation. The approach was experimentally evaluated on an aviation altitude control system using multiple genetic algorithm variants, with comparisons in execution rounds and efficiency.</t>
  </si>
  <si>
    <t>**Main Findings:** The LLM-based extension produced more comprehensive state diagrams by integrating safety properties, reducing human omission risks. Prompt engineering strategies (especially context-rich prompts) significantly improved model outputs. For test case generation, LLM-optimized genetic algorithms reduced execution rounds by up to 90% compared to classical approaches, with more stable and efficient performance across multiple algorithms. Experimental validation confirmed improvements in coverage, independence of test paths, and reduced reliance on manual expertise.</t>
  </si>
  <si>
    <t>**Conclusions:** LLMs can effectively extend safety state diagrams and optimize test case generation, improving both efficiency and quality of safety testing. The proposed method demonstrates substantial reductions in execution time and increased robustness across different genetic algorithms, making it suitable for safety-critical domains such as aviation.</t>
  </si>
  <si>
    <t>**Limitations:** The extracted safety criteria are limited to four categories and may not fully capture broader safety aspects; context-aware path generation is not yet incorporated; reliance on fine-tuned LLMs requires careful prompt design and validation.</t>
  </si>
  <si>
    <t>Adiciona reliance on fine-tuned LLMs requires careful prompt design and validation.</t>
  </si>
  <si>
    <t>**Objectives:** The paper aims to improve the efficiency and reliability of safety testing by automating state diagram extension and test case generation using large language models (LLMs). It seeks to reduce reliance on tester expertise and address inefficiencies in manual test construction, particularly in safety-critical domains such as aviation.</t>
  </si>
  <si>
    <t>**Research Questions:** How can safety state diagrams be automatically extended using LLMs to incorporate safety criteria?; How can LLMs optimize genetic algorithms for test case generation to improve efficiency and stability?; To what extent does this approach reduce execution rounds and enhance test coverage compared to traditional methods?</t>
  </si>
  <si>
    <t>**Methodology:** The authors extracted safety properties from aviation standards DO-178C and ARP 4754A, categorized them, and used them to guide state diagram extensions. They fine-tuned the Qwen2-72B-Instruct model with LoRA to extend diagrams by integrating safety criteria. For test case generation, they combined edge-first depth traversal with a genetic algorithm, where LLMs optimized hyper-parameters and guided individual mutation. Experiments were conducted on an aviation altitude control system, and comparisons were made with six genetic algorithm variants to measure efficiency and stability.</t>
  </si>
  <si>
    <t>**Main Findings:** LLMs successfully extended state diagrams by embedding safety properties, verified with UPPAAL and manual validation for consistency. The integration of LLMs into genetic algorithms significantly reduced execution rounds—up to 90% in some cases—and improved stability across multiple algorithm types. Individual mutation guided by LLMs performed best, achieving the lowest average execution rounds with high stability. The approach improved test path coverage, reduced tester dependence, and enhanced reliability of safety testing.</t>
  </si>
  <si>
    <t>Adiciona menções de diminuir dependencias de experiencia e metodo UPPAAL</t>
  </si>
  <si>
    <t>**Conclusions:** The proposed framework demonstrated that LLMs can automate state diagram extension and optimize genetic algorithms for test case generation, effectively improving test engineers' efficiency in safety-critical systems. The approach reduces reliance on human expertise, increases path coverage, and accelerates test generation. It shows strong applicability to domains requiring rigorous safety validation, such as avionics.</t>
  </si>
  <si>
    <t>Adiciona increases path coverage</t>
  </si>
  <si>
    <t>**Limitations:** The extracted safety criteria are limited to four categories and 25 sub-items, which may not cover all safety aspects; context-aware path generation was not fully developed, leaving room for incomplete execution conditions. Further work is needed to enrich safety standards and integrate broader context-awareness into path generation.</t>
  </si>
  <si>
    <t>**Objectives:** The study aims to improve the quality and efficiency of software safety testing by automating state diagram extensions and test case generation using large language models (LLMs). It seeks to reduce reliance on tester experience and enhance genetic algorithm performance for generating safety-critical test cases.</t>
  </si>
  <si>
    <t>**Research Questions:** How can LLMs be used to extend safety state diagrams systematically?; Can LLMs optimize genetic algorithms for more efficient test case generation?; To what extent does this approach improve safety testing efficiency and stability compared to traditional methods?</t>
  </si>
  <si>
    <t>**Study Type:** experimental applied research</t>
  </si>
  <si>
    <t>**Methodology:** The authors extracted safety criteria from aviation standards DO-178C and ARP 4754A, categorizing them into four groups: value ranges, timing issues, data frames, and fault handling. They fine-tuned the Qwen2-72B-Instruct LLM with LoRA and designed prompt strategies to extend state diagrams with safety properties. For test case generation, they combined edge-first depth traversal to produce test paths with LLM-optimized genetic algorithms for generating input data. The evaluation used an aviation altitude control system, comparing traditional genetic algorithms with LLM-enhanced versions across six algorithmic variants.</t>
  </si>
  <si>
    <t>**Main Findings:** The LLM-extended state diagrams captured additional safety properties systematically and were validated with UPPAAL and manual checks for consistency. LLM-optimized genetic algorithms significantly reduced execution rounds, with individual mutation guided by LLMs showing the best performance. On average, execution rounds were reduced by up to 90% compared to classical approaches, and stability across test paths was greatly improved. The method proved adaptable to multiple genetic algorithm variants, consistently enhancing performance in safety testing tasks.</t>
  </si>
  <si>
    <t>**Conclusions:** The proposed method effectively automates state diagram extension and test case generation, reducing dependence on tester experience and improving testing efficiency. LLM integration with genetic algorithms enhances both coverage and execution stability, making safety testing more reliable. The approach is broadly applicable to systems with safety-critical requirements.</t>
  </si>
  <si>
    <t>Adiciona que LLM aumenta coverage e execution stability</t>
  </si>
  <si>
    <t>**Limitations:** The safety criteria used were limited to four main categories; context-aware path generation was not yet addressed; broader safety aspects such as control and transfer processes remain unexplored.</t>
  </si>
  <si>
    <t>**Objectives:** The paper aims to propose a model that determines the weight coefficients of maintainability criteria for software projects developed using agile methodologies. It seeks to address the lack of quantitative models for evaluating software quality in agile environments by focusing specifically on maintainability.</t>
  </si>
  <si>
    <t>**Research Questions:** Which criteria best represent software maintainability in agile development?; How can these criteria be weighted effectively to estimate maintainability?; Can the SWARA decision-making approach provide reliable weight coefficients for agile maintainability criteria?</t>
  </si>
  <si>
    <t>**Study Type:** methods-driven model development (decision-making approach application)</t>
  </si>
  <si>
    <t>próximo, mas usa termo diferente (“model development”) em vez da classificação direta.</t>
  </si>
  <si>
    <t>**Methodology:** The study adopts a multi-criteria decision making (MCDM) technique known as Step-wise Weight Assessment Ratio Analysis (SWARA). Expert opinions from the software industry were used to rank and compare four selected maintainability criteria: user stories, story points, pre-defects, and post-defects. The SWARA procedure was applied to assign weight coefficients to each criterion, ensuring that the final coefficients summed to 1, thereby allowing maintainability estimation for agile projects.</t>
  </si>
  <si>
    <t>descreve bem o SWARA, mas omite a revisão de literatura.</t>
  </si>
  <si>
    <t>**Main Findings:** The analysis showed that pre-defects carried the highest weight coefficient, followed by post-defects, story points, and user stories. These rankings highlight the strong importance of defect-related measures in determining maintainability. The results confirm that applying SWARA enables a structured and consensus-driven weighting of criteria. The model provides a means to calculate an estimated maintainability value for agile software projects.</t>
  </si>
  <si>
    <t>escreve ranking bem, mas não enfatiza cálculo do esforço/manutenção como no gabarito.</t>
  </si>
  <si>
    <t>**Conclusions:** The proposed model enables systematic estimation of software maintainability in agile environments by applying the SWARA method to critical criteria. It allows practitioners to quantify maintainability early in the development process and supports quality-focused agile practices. The approach emphasizes process-based quality assessment rather than product-only evaluation.</t>
  </si>
  <si>
    <t>**Limitations:** The study is limited by the small set of criteria (four) chosen for maintainability estimation. Additional criteria, such as productivity or defect density, could be incorporated to improve accuracy.</t>
  </si>
  <si>
    <t>**Objectives:** The paper proposes a model to estimate the maintainability of software developed using agile practices by determining the weight coefficients of key maintainability criteria. It aims to provide a structured way to evaluate software quality in agile environments, where no precise models currently exist.</t>
  </si>
  <si>
    <t>**Research Questions:** What maintainability criteria are most critical in agile software development?; How can the SWARA method be applied to assign weight coefficients to these criteria?; How can the weighted criteria be used to estimate the overall maintainability of agile projects?</t>
  </si>
  <si>
    <t>**Study Type:** methods-driven empirical model proposal</t>
  </si>
  <si>
    <t>próxima, mas “empirical model proposal” não é idêntico.</t>
  </si>
  <si>
    <t>**Methodology:** The study employs a multi-criteria decision-making (MCDM) technique called Step-wise Weight Assessment Ratio Analysis (SWARA). Expert opinions were gathered to identify and rank four critical maintainability criteria: user stories, story points, pre-defects, and post-defects. SWARA was then applied to assign weight coefficients, ensuring the total equals one, thereby enabling the calculation of an estimated maintainability value for agile projects.</t>
  </si>
  <si>
    <t>descreve SWARA corretamente, mas omite revisão de literatura.</t>
  </si>
  <si>
    <t>**Main Findings:** The analysis revealed that pre-defects carry the highest weight coefficient, followed by post-defects, story points, and user stories. This ordering indicates that defect-related measures are more influential in assessing maintainability than initial estimation metrics. The model provides a calculable maintainability value for agile projects, which can guide effort estimation and quality evaluation. It demonstrates that applying structured weighting methods can enhance the reliability of agile quality assessments.</t>
  </si>
  <si>
    <t>descreve bem ranking, mas não enfatiza cálculo prático do esforço.</t>
  </si>
  <si>
    <t>**Conclusions:** The proposed SWARA-based model enables systematic estimation of maintainability in agile projects by quantifying the importance of different criteria. It strengthens quality evaluation in agile environments, where standardized models are lacking. The model supports practitioners in predicting maintenance efforts and overall software quality more effectively.</t>
  </si>
  <si>
    <t>**Limitations:** The study considered only four maintainability criteria; including more factors such as productivity or defect density could improve accuracy. The reliance on expert judgment introduces subjectivity that may limit generalizability.</t>
  </si>
  <si>
    <t>adiciona limitação não mencionada (subjetividade).</t>
  </si>
  <si>
    <t>**Objectives:** The paper aims to propose a systematic model to estimate the maintainability of software products developed in agile environments. It specifically focuses on identifying critical maintainability criteria and assigning weight coefficients to them using a decision-making approach.</t>
  </si>
  <si>
    <t>**Research Questions:** How can maintainability be quantitatively assessed in agile software development?; What maintainability criteria are most critical for agile projects?; How can a decision-making method like SWARA be applied to determine weight coefficients for these criteria?</t>
  </si>
  <si>
    <t>**Study Type:** conceptual model with expert-based evaluation</t>
  </si>
  <si>
    <t>próximo, mas usa outra classificação (“conceptual model”).</t>
  </si>
  <si>
    <t>**Methodology:** The authors build upon prior research that identified maintainability criteria relevant to agile projects. They apply the Step-wise Weight Assessment Ratio Analysis (SWARA) multi-criteria decision-making method. Expert opinions are used to rank and compare four selected criteria—user stories, story points, pre-defects, and post-defects. SWARA then calculates weight coefficients for each criterion, summing to one, providing a maintainability estimation model.</t>
  </si>
  <si>
    <t>descreve bem SWARA e critérios, mas não cita explicitamente a revisão de literatura.</t>
  </si>
  <si>
    <t>**Main Findings:** The SWARA results show that pre-defects have the highest weight coefficient, followed by post-defects, story points, and user stories. This indicates that defect-related metrics are more influential in determining agile maintainability than requirement size or count. The model allows practitioners to calculate an estimated maintainability value for projects by combining real project data with these weights. It provides a structured way to forecast maintenance efforts early in the development cycle.</t>
  </si>
  <si>
    <t>ranking correto, mas traz também interpretação (defeitos mais influentes), que não aparece no gabarito.</t>
  </si>
  <si>
    <t>**Conclusions:** Maintainability is a crucial factor in software quality, and agile processes currently lack formal models to assess it. The proposed SWARA-based model successfully assigns weights to four maintainability criteria, offering a practical framework for estimation. This model can guide agile teams in better anticipating maintenance needs and enhancing product quality.</t>
  </si>
  <si>
    <t>**Limitations:** The model considers only four maintainability criteria; additional factors such as productivity or defect density could improve accuracy. Validation was limited to expert opinion and illustrative calculations, without empirical testing on large-scale projects.</t>
  </si>
  <si>
    <t>acrescenta limitação extra não citada no artigo.</t>
  </si>
  <si>
    <t xml:space="preserve">**Objectives:** The paper aims to develop a model for estimating the maintainability of software projects in agile environments by identifying and weighting key criteria. It seeks to provide a systematic method to measure and enhance software quality through the maintainability perspective.
</t>
  </si>
  <si>
    <t>**Research Questions:** Which criteria are most critical for assessing software maintainability in agile development?; How can weight coefficients for these criteria be systematically determined?; Can the SWARA decision-making approach be applied effectively to agile software maintainability estimation?</t>
  </si>
  <si>
    <t xml:space="preserve">**Study Type:** methods-driven conceptual and applied study
</t>
  </si>
  <si>
    <t>similar, mas usa termos diferentes.</t>
  </si>
  <si>
    <t>**Methodology:** The authors conduct a literature review of prior approaches to maintainability estimation and identify four critical criteria—user stories, story points, pre-defects, and post-defects—through expert opinion. They apply the Step-wise Weight Assessment Ratio Analysis (SWARA) method, a multi-criteria decision-making technique, to derive weight coefficients for these criteria. The model ranks and aggregates expert inputs, calculates coefficients, and demonstrates how these can be used to estimate overall maintainability of agile projects.</t>
  </si>
  <si>
    <t>**Main Findings:** Pre-defects were assigned the highest weight coefficient, indicating their dominant influence on maintainability. Post-defects ranked next, followed by story points, and finally user stories. The model demonstrates that using SWARA enables structured evaluation of criteria importance and provides a maintainability estimation value. This allows practitioners to better anticipate maintenance effort and focus on the most impactful quality factors in agile projects.</t>
  </si>
  <si>
    <t>**Conclusions:** Maintainability is essential for software quality, particularly in agile development. The proposed SWARA-based model provides a systematic way to assess maintainability by weighting critical criteria. This approach helps estimate maintainability early and can guide improvements in agile software quality processes.</t>
  </si>
  <si>
    <t>**Limitations:** The model is limited by the small number of criteria considered; only four factors were used, while additional ones such as productivity or defect density could improve accuracy. Validation was conceptual and illustrative, not tested on large-scale industrial datasets.</t>
  </si>
  <si>
    <t>acrescenta restrição não prevista (validação em datasets).</t>
  </si>
  <si>
    <t>**Objectives:** The study proposes a model to quantify software maintainability in agile environments by determining weight coefficients for selected criteria. It aims to provide a structured method to estimate maintenance needs, given that agile practices lack formal models for quality measurement.</t>
  </si>
  <si>
    <t>**Research Questions:** How can maintainability of agile software projects be systematically estimated?; Which maintainability criteria are most critical in agile environments?; How can SWARA methodology be applied to assign weight coefficients to these criteria?</t>
  </si>
  <si>
    <t>**Study Type:** conceptual model with expert-driven validation</t>
  </si>
  <si>
    <t>classificação diferente.</t>
  </si>
  <si>
    <t>**Methodology:** The authors conducted a literature review to identify maintainability criteria and then applied the Step-Wise Weight Assessment Ratio Analysis (SWARA) method, a multi-criteria decision-making approach. Four criteria were selected—user stories, story points, pre-defects, and post-defects—based on expert input. Experts ranked the criteria, and SWARA was used to calculate their relative weights, producing coefficients that sum to one and can be used for maintainability estimation.</t>
  </si>
  <si>
    <t>**Main Findings:** Pre-defects received the highest weight, followed by post-defects, story points, and user stories. This indicates that defect-related measures dominate maintainability considerations in agile projects. The model enables practitioners to compute an overall maintainability value for projects by inputting actual values for these criteria. The results demonstrate that SWARA can be effectively adapted to agile software maintainability assessment.</t>
  </si>
  <si>
    <t>**Conclusions:** Maintainability is a central factor for software quality in agile development. The proposed SWARA-based model provides a practical framework for assigning weights to key maintainability criteria. It offers a means to estimate overall maintainability early in the development process and supports better quality management in agile environments.</t>
  </si>
  <si>
    <t>**Limitations:** The model is limited by considering only four maintainability criteria. Inclusion of additional factors such as productivity or defect density could enhance accuracy and generalizability.</t>
  </si>
  <si>
    <t>**Objectives:** The paper introduces a model to estimate the maintainability value of software projects developed in agile environments. It aims to determine weight coefficients for key maintainability criteria using a structured decision-making approach, thereby enabling early assessment of software quality.</t>
  </si>
  <si>
    <t>**Research Questions:** Which maintainability criteria are most critical in agile software development?; How can their relative weights be determined systematically?; How can the weighted criteria be applied to estimate overall maintainability of agile projects?</t>
  </si>
  <si>
    <t>denominação diferente.</t>
  </si>
  <si>
    <t>**Methodology:** The authors review prior work on software maintainability and agile practices, identifying four critical criteria: user stories, story points, pre-defects, and post-defects. They apply the Step-wise Weight Assessment Ratio Analysis (SWARA), a multi-criteria decision-making method, to derive weight coefficients for each criterion based on expert evaluations. The ranked and weighted criteria are then aggregated into a model capable of estimating maintainability values for agile projects.</t>
  </si>
  <si>
    <t>**Main Findings:** The SWARA-based model assigns the highest weight to pre-defects, followed by post-defects, story points, and user stories. This indicates that defect-related measures carry greater influence on maintainability assessment in agile contexts. The model demonstrates that by quantifying and weighting criteria, practitioners can estimate maintainability early in the development process. The approach also highlights the potential to reduce long-term maintenance costs by focusing attention on defect management.</t>
  </si>
  <si>
    <t>adiciona interpretação (redução de custos) não presente no gabarito.</t>
  </si>
  <si>
    <t>**Conclusions:** The study confirms that maintainability is a critical factor for software quality in agile development and that SWARA provides a practical mechanism for weighting criteria. The proposed model enables more accurate estimation of maintainability and supports decision-making during agile projects. It also underscores the importance of process quality as a determinant of product quality.</t>
  </si>
  <si>
    <t>**Limitations:** The model is limited by the small set of criteria (only four) used for calculation, which may restrict its comprehensiveness. Further, the reliance on expert judgment in SWARA introduces subjectivity. The authors suggest expanding the criteria set (e.g., productivity, defect density) for more robust results.</t>
  </si>
  <si>
    <t>**Objectives:** The paper proposes a structured model for estimating the maintainability of software products developed in agile environments. It aims to identify and assign weight coefficients to critical maintainability criteria using a systematic decision-making approach, thereby providing a reliable basis for evaluating software quality.</t>
  </si>
  <si>
    <t>**Research Questions:** Which criteria most significantly affect maintainability in agile software projects?; How can weight coefficients for these criteria be determined systematically using a decision-making methodology?; Can the proposed model provide a practical means to estimate overall maintainability in agile environments?</t>
  </si>
  <si>
    <t>**Study Type:** methods-driven empirical model development</t>
  </si>
  <si>
    <t>próxima, mas denominação diferente.</t>
  </si>
  <si>
    <t>**Methodology:** The authors used the Step-wise Weight Assessment Ratio Analysis (SWARA) method, a multi-criteria decision-making approach, to assign weights to maintainability criteria. Four criteria were selected based on expert input: user stories, story points, pre-defects, and post-defects. Experts ranked and compared these criteria according to importance, and SWARA was applied to compute weight coefficients. The model provides a basis for calculating an estimated maintainability value for agile projects when project-specific data are available.</t>
  </si>
  <si>
    <t>descreve bem o SWARA, mas omite a revisão.</t>
  </si>
  <si>
    <t>**Main Findings:** The application of SWARA showed that pre-defects had the highest weight coefficient, followed by post-defects, story points, and user stories. This ranking indicates that defect-related factors play the most critical role in assessing maintainability in agile environments. The model enables project teams to estimate the maintainability value of their software, offering an early indication of required maintenance effort and overall product quality. By quantifying relative importance, it provides a systematic framework for practitioners to prioritize quality considerations.</t>
  </si>
  <si>
    <t>ranking e esforço aparecem, mas extrapola em interpretações (priorização de qualidade).</t>
  </si>
  <si>
    <t>**Conclusions:** The study demonstrates that maintainability in agile software development can be effectively assessed by combining expert judgment with the SWARA decision-making method. The proposed model provides a practical tool for estimating maintainability and, by extension, overall product quality. It highlights the centrality of defect-related measures while offering a flexible framework for future refinement.</t>
  </si>
  <si>
    <t>**Limitations:** The model is constrained by the limited set of four criteria considered; additional factors such as productivity or defect density could enhance accuracy. Its reliance on expert input may introduce subjectivity, and validation on larger-scale projects was not fully addressed.</t>
  </si>
  <si>
    <t>adiciona limitações extras não citadas.</t>
  </si>
  <si>
    <t>**Objectives:** To propose a model for estimating software maintainability within agile environments by determining weight coefficients for critical maintainability criteria. The aim is to provide an efficient, structured approach for evaluating and improving software quality in agile projects.</t>
  </si>
  <si>
    <t>**Research Questions:** Which maintainability criteria are most critical for agile software development?; How can weight coefficients be systematically assigned to these criteria using decision-making methods?; Can the proposed model provide a reliable maintainability estimate for agile projects?</t>
  </si>
  <si>
    <t>**Study Type:** methodological framework</t>
  </si>
  <si>
    <t>**Methodology:** The authors employed the Step-wise Weight Assessment Ratio Analysis (SWARA), a multi-criteria decision-making (MCDM) technique, to calculate weight coefficients for maintainability criteria. Four criteria—user stories, story points, pre-defects, and post-defects—were selected based on expert opinions. Experts ranked these criteria, provided comparative assessments, and SWARA was applied to derive normalized weights. The final coefficients were validated as a basis for estimating maintainability in agile software projects.</t>
  </si>
  <si>
    <t>descreve bem o SWARA e ranking, mas não cita explicitamente a revisão.</t>
  </si>
  <si>
    <t>**Main Findings:** The model determined that pre-defects have the highest weight among maintainability criteria, followed by post-defects, story points, and user stories. This prioritization reflects the significant impact of defect-related factors on long-term software maintainability. The approach demonstrates that expert-driven weighting using SWARA can yield structured and quantifiable results applicable to agile contexts. The model offers a practical means to estimate overall maintainability by incorporating project-specific values into the weighted formula.</t>
  </si>
  <si>
    <t>**Conclusions:** The proposed SWARA-based model enables systematic evaluation of maintainability in agile projects, emphasizing the importance of defect-related measures. It provides a structured method for estimating software quality and can guide practitioners in improving maintainability. However, its current scope is limited to four selected criteria, suggesting the need for expansion.</t>
  </si>
  <si>
    <t>**Limitations:** The model is constrained by the limited number of maintainability criteria considered. Additional factors, such as productivity or defect density, could improve accuracy. The reliance on expert opinion introduces potential subjectivity.</t>
  </si>
  <si>
    <t>adiciona limitação não mencionada.</t>
  </si>
  <si>
    <t>**Objectives:** The paper aims to investigate how software architecture can be integrated into requirements elicitation to support rapid software development. It seeks to identify strategies, tools, and frameworks that enhance the connection between requirements and architecture, while highlighting research gaps and proposing resources for practitioners.</t>
  </si>
  <si>
    <t>**Research Questions:** How are software architecture and requirements elicitation connected, and what tools, techniques, and challenges exist?; Is it possible to accommodate requirements in software architecture using current frameworks and tools?; What research, industrial, and academic gaps exist between software architecture and requirements?; How can the Architecture Centric Requirement Elicitation (ACRE) approach bridge the gap between architecture and requirements?; What tools, techniques, and processes are available to support architecture-centric requirements elicitation?</t>
  </si>
  <si>
    <t>**Methodology:** The study followed Petersen et al.'s systematic review protocol, including definition of research questions, development of inclusion and exclusion criteria, structured search strategy, and data extraction. Papers published between 2009 and 2022 from IEEE, Elsevier, Springer, ACM, and Taylor &amp; Francis were included, with 61 tools, techniques, and frameworks analyzed. Data synthesis categorized tools by type (heuristics, exact methods, hybrid, new strategies) and mapped them to research gaps.</t>
  </si>
  <si>
    <t>**Main Findings:** The review identified more than 60 tools, schemes, and frameworks relevant to integrating requirements elicitation with software architecture. Pre-defining architecturally significant requirements and using frameworks such as ATAM, TOGAF, and Twin Peaks model support traceability and rapid development. ACRE-based approaches enable better alignment between requirements and architecture but still face limitations in automation and tool support. The study also designed a dendrogram to highlight research gaps and created a taxonomical resource bank for tools, sub-groups, and application areas.</t>
  </si>
  <si>
    <t>**Conclusions:** Integrating software architecture with requirements elicitation is essential for rapid and high-quality software development. The study concludes that ACRE approaches improve traceability and reduce gaps between requirements, design, and architecture. However, more robust tools, hybrid methods, and quantitative validation are needed to advance this integration.</t>
  </si>
  <si>
    <t>A IA incluiu uma conclusão importante sobre a necessidade de ferramentas futuras, que não está presente no gabarito (a seção de conclusão do artigo), mas é fortemente fundamentada na análise detalhada feita pelo artigo em uma seção anterior.</t>
  </si>
  <si>
    <t>**Limitations:** The review is limited to literature from 2009 to 2022 and peer-reviewed sources, which may exclude relevant industrial practices. Additionally, most findings are theoretical, with limited quantitative or real-world validation of the proposed tools and frameworks.</t>
  </si>
  <si>
    <t>**Objectives:** The paper aims to investigate how software architecture can be integrated into requirements elicitation to improve rapid software development. It seeks to identify architectural elements, tools, and frameworks that support better traceability, flexibility, and performance in requirements engineering. Another goal is to highlight research gaps and propose strategies to bridge requirements and architecture using Architecture-Centric Requirement Elicitation (ACRE).</t>
  </si>
  <si>
    <t>**Research Questions:** How are software architecture and requirements elicitation connected, and what tools and techniques support this link?; Is it possible to accommodate requirements in software architecture using recent frameworks and tools?; What gaps exist between research, industry, and academia in integrating architecture and requirements?; How can ACRE bridge the gap between architecture and requirements elicitation?; What tools, methods, and frameworks exist for ACRE and how do they compare?</t>
  </si>
  <si>
    <t>**Methodology:** The authors conducted a systematic literature review (SLR) following the methodology of Petersen et al., including a review protocol, selection/rejection criteria, search strategy, and data extraction. They analyzed literature published between 2009 and 2022 from IEEE, Elsevier, Springer, ACM, and Taylor &amp; Francis. From an initial broad search, 61 tools, techniques, and frameworks relevant to architecture-centric requirements elicitation were selected. Data synthesis included classification, dendrograms for research gaps, and construction of a taxonomical resource bank to categorize tools and approaches.</t>
  </si>
  <si>
    <t>**Main Findings:** The study found that software architecture and requirements elicitation are deeply interconnected, with approaches like Service-Oriented Architecture, Knowledge-Sharing Architecture, and TOGAF facilitating integration. Architecturally Significant Requirements (ASRs) and views such as the 4+1 model enhance traceability and reusability, but identifying ASRs remains a challenge. Current tools (e.g., ATAM, ArcheR, ADL, STREAM-AP) and methods show potential, but most focus on single-objective solutions; hybrid and multi-objective approaches are underdeveloped. Major research and industrial gaps persist, including lack of quantitative validation, poor identification of ASRs, weak support for trade-off management, and insufficient bridging of business requirements with architecture. The proposed taxonomical resource bank offers a structured model for future research and practice.</t>
  </si>
  <si>
    <t>**Conclusions:** Integrating software architecture into requirements elicitation improves traceability, quality, and rapid development outcomes. Architecture-centric approaches, especially ACRE, provide a viable path to reduce gaps between requirements engineering, software design, and architecture. However, further research and more advanced, hybrid tools are needed to address complexity, trade-offs, and scalability issues in practice.</t>
  </si>
  <si>
    <t>**Limitations:** The study is limited by its reliance on secondary sources, exclusion of non-peer-reviewed material, and focus on literature up to 2022. It also notes the lack of quantitative evaluation and future-oriented tool development as critical gaps in the field.</t>
  </si>
  <si>
    <t>**Objectives:** The study seeks to explore how integrating software architecture into requirements elicitation can enhance rapid software development. It aims to identify tools, techniques, and frameworks that strengthen traceability, performance, and adaptability between architecture and requirements. Additionally, it intends to bridge research and industrial gaps by critically examining Architecture-Centric Requirement Elicitation (ACRE).</t>
  </si>
  <si>
    <t>**Research Questions:** How are software architecture and requirements elicitation connected, including state-of-the-art tools, techniques, pros/cons, applicability, challenges, and domain analysis?; Is it possible to accommodate requirements in software architecture using recent frameworks, tools, and techniques?; What are the research, industrial, and academic gaps between software architecture and requirements for rapid software development?; How can ACRE bridge these gaps and balance architecture with elicitation operations?; How do requirement elicitation processes, tools, and techniques relate to architecture-centric approaches?</t>
  </si>
  <si>
    <t>**Methodology:** The authors conducted a Systematic Literature Review (SLR) following established protocols, including review protocol development, selection and rejection criteria, search strategy, and data extraction. They analyzed papers published between 2009 and 2021 from IEEE, Elsevier, ACM, Springer, and Taylor &amp; Francis, filtering 61 relevant studies. Data synthesis focused on identifying architecture-centric techniques, tools for requirements-architecture mapping, research gaps, and evaluation of trends. They also developed a dendrogram of research gaps and created a taxonomical resource bank categorizing tools, methods, and frameworks.</t>
  </si>
  <si>
    <t>O período dos artigos é de 2009 até a publicação da RSL que ocorreu em 2022, então esse período de tempo está incorreto</t>
  </si>
  <si>
    <t>**Main Findings:** The review identified over 60 tools, techniques, and frameworks for bridging requirements and architecture, including ATAM, ADL, STREAM-AP, and Twin Peaks. Architecturally significant requirements (ASRs) play a critical role in ensuring traceability, reusability, and quality. The study showed that bridging architecture and requirements enhances adaptability, quality attributes, and stakeholder communication, but also introduces complexity and dependency. Research gaps persist in identifying ASRs, aligning business requirements with architectural models, managing trade-offs, and producing future-oriented tools. Hybrid and multi-objective approaches are emerging but remain underrepresented compared to single-objective tools.</t>
  </si>
  <si>
    <t>**Conclusions:** The paper concludes that integrating software architecture into requirements elicitation is essential for effective and rapid software development. ACRE improves traceability, reduces gaps between design and requirements, and enhances quality and sustainability. The study emphasizes the importance of tools and frameworks to systematically accommodate requirements into architectures and highlights future directions for reducing paradigm shifts in requirement engineering.</t>
  </si>
  <si>
    <t>Contém uma imprecisão e um exagero ao superestimar a importância de um conceito secundário mencionado no artigo.</t>
  </si>
  <si>
    <t>**Limitations:** Not explicitly stated; however, the review is limited to selected publishers (IEEE, Elsevier, ACM, Springer, Taylor &amp; Francis) and papers from 2009 onward, which may omit relevant works. Additionally, the reliance on SLR prevents empirical validation of the proposed frameworks and tools.</t>
  </si>
  <si>
    <t>De fato não tem uma seção de limitações, mas elas são citadas ao longo do texto</t>
  </si>
  <si>
    <t>**Objectives:** The study aims to investigate how software architecture can be systematically integrated into requirements elicitation to improve rapid software development. It seeks to identify state-of-the-art tools, techniques, and frameworks, explore their pros and cons, and highlight how Architecture-Centric Requirement Elicitation (ACRE) can bridge the gap between requirements and architecture.</t>
  </si>
  <si>
    <t>**Research Questions:** How are software architecture and requirements elicitation connected, and what tools, techniques, and challenges exist?; Can requirements be effectively accommodated into software architecture using recent frameworks and methods?; What gaps remain between research, industry, and academia in linking software architecture and requirements?; How can ACRE approaches bridge these gaps to balance architecture and requirements elicitation?; What tools, techniques, and processes support ACRE in requirements elicitation?</t>
  </si>
  <si>
    <t xml:space="preserve">Omite detalhes e introduz palavras que alteram sutilmente a nuance das perguntas originais. Mas em geral está bem fiel ao artigo e poderia ser utilizado sem maiores problemas </t>
  </si>
  <si>
    <t>**Methodology:** The authors conducted a Systematic Literature Review (SLR) following Petersen et al.'s guidelines. A review protocol defined selection and rejection criteria, focusing on papers from 2009 onwards published in major peer-reviewed venues (IEEE, ACM, Springer, Elsevier, Taylor &amp; Francis). A total of 61 studies were selected after applying inclusion/exclusion criteria based on keywords related to requirements and architecture. Data extraction and synthesis considered tools, frameworks, methods, contributions, and future directions, with quality evaluation performed via multi-step categorization.</t>
  </si>
  <si>
    <t>**Main Findings:** The review identified over 60 tools, schemes, and patterns relevant to architecture-centric requirements elicitation. Key frameworks include service-oriented architecture, knowledge-sharing architectures, TOGAF, similarity computations, and multi-model approaches. Architecturally Significant Requirements (ASRs) were highlighted as critical for integrating requirements and architecture, though their identification remains challenging. Gaps persist in research and practice, particularly in trade-off management, traceability, and addressing business-oriented requirements. While single-objective tools dominate, hybrid and multi-objective approaches are emerging but remain limited in number.</t>
  </si>
  <si>
    <t>**Conclusions:** The study concludes that integrating software architecture into requirements elicitation enhances traceability, reusability, and efficiency in rapid software development. ACRE provides a structured approach to bridging gaps, but further advancements are needed in tools, standardization, and methods to address complexity and scalability. Future work should expand the taxonomical resource bank and improve quantitative evaluation of proposed approaches.</t>
  </si>
  <si>
    <t>Introduz um conceito completamente ausente ("padronização") e distorce as direções futuras apontadas pelos autores, tornando o resumo enganoso.</t>
  </si>
  <si>
    <t>**Limitations:** Limited to papers from selected publishers and post-2009; lacks quantitative analysis for comparing effectiveness of tools; hybrid and multi-objective approaches remain underexplored.</t>
  </si>
  <si>
    <t>**Objectives:** The study aims to investigate how software architecture can be integrated into requirements elicitation to improve rapid software development. It seeks to identify tools, techniques, and frameworks that support architecture-centric requirement elicitation (ACRE), while analyzing their strengths, weaknesses, and applicability.</t>
  </si>
  <si>
    <t>**Research Questions:** How are software architecture and requirements elicitation connected, and what are the existing tools, techniques, pros, cons, and challenges?; Is it possible to accommodate requirements within software architecture using modern frameworks, tools, and methods?; What research, industrial, and academic gaps exist between software architecture and requirements?; How can these gaps be bridged using architecture-centric approaches?; How do requirements elicitation processes relate to tools, techniques, and architecture-centric methods?</t>
  </si>
  <si>
    <t>Omite alguns detalhes, mas não ocorre nenhuma alucinação</t>
  </si>
  <si>
    <t>**Methodology:** The authors conducted a Systematic Literature Review (SLR) following Petersen's methodology. They developed a review protocol with selection/rejection criteria, searched major databases (IEEE, Elsevier, Springer, ACM, Taylor &amp; Francis), and shortlisted studies from 2009 onwards. Sixty-one tools, techniques, schemes, and patterns were analyzed, categorized, and synthesized. Data extraction included evaluation of architectural relevance, requirement-architecture mapping, and identification of gaps and trends. A dendrogram and a taxonomical resource bank were constructed to summarize findings.</t>
  </si>
  <si>
    <t>**Main Findings:** The review highlighted that software architecture and requirements elicitation are strongly interconnected through approaches such as Service-Oriented Architecture (SOA), Knowledge-Sharing Architecture (KSA), and multi-model frameworks. Architecturally Significant Requirements (ASRs) play a crucial role in bridging gaps but remain difficult to identify. The analysis showed that many tools and frameworks exist, yet most are single-objective and lack hybrid or multi-objective approaches. Only 5% of tools directly support architecture-centric elicitation, revealing a significant gap. The study also provided a resource bank of over 60 tools and categorized them by applicability, strengths, weaknesses, and domain usage.</t>
  </si>
  <si>
    <t>A afirmação "Only 5% of tools directly support architecture-centric elicitation, revealing a significant gap" é uma interpretação incorreta e enganosa dos dados apresentados no artigo.</t>
  </si>
  <si>
    <t>**Conclusions:** The integration of architecture into requirements elicitation enhances traceability, maintainability, and quality in rapid software development. Architecture-centric approaches reduce the gap between requirements engineering and design, enabling more reliable and reusable systems. However, more advanced, hybrid, and quantitative tools are needed to address current limitations.</t>
  </si>
  <si>
    <t>**Limitations:** The study is limited by its reliance on existing literature and the absence of quantitative or empirical validation. It focused only on peer-reviewed studies from selected publishers, which may omit relevant industry practices. Additionally, most reviewed tools are theoretical, lacking comprehensive real-world testing.</t>
  </si>
  <si>
    <t>Confunde uma descoberta do artigo com uma limitação do próprio artigo.</t>
  </si>
  <si>
    <t>**Objectives:** The paper aims to investigate how software architecture can be systematically integrated into requirements elicitation to support rapid software development. It seeks to identify tools, techniques, frameworks, and strategies that bridge the gap between requirements and architecture, while also highlighting research challenges and providing a resource bank for practitioners and researchers.</t>
  </si>
  <si>
    <t>**Research Questions:** How are software architecture and requirements elicitation connected, and what are their state-of-the-art tools, techniques, pros and cons, and challenges?; Is it possible to accommodate requirements in software architecture using recent frameworks, tools, and techniques?; What research, industrial, and academic gaps exist between software architecture and requirements?; How can Architecture-Centric Requirement Elicitation (ACRE) help bridge the gap between architecture and requirements?; What tools, techniques, and processes exist for interpreting requirements elicitation in architecture-centric contexts?</t>
  </si>
  <si>
    <t>**Methodology:** The authors conducted a systematic literature review (SLR) following Petersen et al.'s guidelines, establishing a review protocol, inclusion and exclusion criteria, and a structured search process. Papers from 2009 onward were selected from IEEE, Elsevier, Springer, ACM, and Taylor &amp; Francis. A total of 61 primary studies were analyzed, focusing on architecture-centric requirement elicitation (ACRE). Data extraction involved identifying concepts, contributions, tools, and frameworks, followed by quality evaluation and synthesis to classify methods, tools, and research gaps.</t>
  </si>
  <si>
    <t>**Main Findings:** Architecture-Centric Requirement Elicitation (ACRE) facilitates traceability, adaptability, and reusability, making it valuable for rapid development. Architecturally Significant Requirements (ASRs) are central to bridging requirements with architectural decisions. Current tools include ATAM, ADL, STREAM-AP, ArcheR, and similarity computation techniques, but many remain fragmented and lack hybrid or multi-objective capabilities. A comprehensive resource bank of 60+ tools, methods, and frameworks was compiled, classified by application, strengths, weaknesses, and domain. Key gaps include inadequate handling of trade-offs, limited tool support for complex multi-objective problems, and difficulty identifying ASRs in practice.</t>
  </si>
  <si>
    <t>**Conclusions:** The study concludes that integrating architecture into requirements elicitation is critical for rapid and high-quality software development. ACRE-based approaches, when supported by effective tools and frameworks, can significantly improve traceability and alignment between requirements and architecture. However, gaps in tools, research focus, and industrial adoption remain, demanding more hybrid and multi-objective solutions. The resource bank provided offers a foundation for future research and practice.</t>
  </si>
  <si>
    <t>**Limitations:** The findings are limited by reliance on existing literature, with no empirical validation or case studies conducted by the authors. Additionally, the scope is constrained to papers published in major publishers between 2009 and 2022, which may exclude relevant industry practices.</t>
  </si>
  <si>
    <t xml:space="preserve">**Objectives:** The study investigates how software architecture can be integrated into requirements elicitation to support rapid software development. It aims to identify tools, techniques, and frameworks that enable this integration, highlight research and industrial gaps, and propose strategies for bridging these gaps. Additionally, it seeks to establish a resource bank to guide researchers and practitioners in aligning architectural practices with requirements engineering.
</t>
  </si>
  <si>
    <t>**Research Questions:** How are software architecture and requirements elicitation connected, and what tools, techniques, and challenges define this relationship?; Is it feasible to accommodate requirements within software architecture using recent frameworks, tools, and techniques?; What research, industrial, and academic gaps exist between software architecture and requirements in rapid software development?; How can Architecture Centric Requirement Elicitation (ACRE) bridge the gaps between software architecture and requirements elicitation?; How do tools and techniques for requirements elicitation relate to architecture-centric approaches?</t>
  </si>
  <si>
    <t xml:space="preserve">**Study Type:** systematic literature review
</t>
  </si>
  <si>
    <t>**Methodology:** The authors conducted a systematic literature review (SLR) following Petersen's guidelines, with a structured protocol including review design, selection/rejection criteria, search strategy, and data extraction/synthesis. Searches across IEEE, Elsevier, ACM, Springer, and Taylor &amp; Francis focused on papers from 2009 onwards, filtered using defined query terms. From thousands of results, 61 primary studies providing tools, frameworks, and patterns relevant to architecture-centric requirement elicitation were selected. Data were categorized, synthesized, and evaluated using criteria of subject relevance, quality, novelty, and contribution to traceability and rapid development.</t>
  </si>
  <si>
    <t>A descrição dos critérios de avaliação é uma síntese que mistura os critérios de seleção iniciais com os objetivos gerais do estudo, e introduz um termo "novelty" que não é explicitamente usado no artigo.</t>
  </si>
  <si>
    <t>**Main Findings:** The review identified over 60 tools and techniques that link software architecture with requirements elicitation, including frameworks such as SOA, TOGAF, ATAM, and Twin Peaks. Architecturally Significant Requirements (ASRs) were shown to be central for aligning stakeholder needs with design decisions. Traceability emerged as a critical challenge, addressed by methods like Decision Centric Traceability (DCT). The study highlighted gaps in identifying ASRs, trade-off management, and bridging business requirements with architectural models. While single-objective tools dominate the literature, multi-objective and hybrid approaches are scarce but necessary for balancing conflicting requirements. The resource bank proposed by the authors organizes tools, techniques, and frameworks into structured categories to aid researchers and practitioners.</t>
  </si>
  <si>
    <t>**Conclusions:** The study concludes that integrating software architecture into requirements elicitation enhances traceability, quality, and speed in software development. Architecture-centric approaches like ACRE provide promising pathways to reduce gaps between requirements and architecture. However, widespread adoption requires more advanced tools, hybrid methods, and standardization of practices. The resource bank serves as a foundation for future research and application in this area.</t>
  </si>
  <si>
    <t>Fabrica uma necessidade que não é mencionada no artigo:  "padronização de práticas"</t>
  </si>
  <si>
    <t>**Limitations:** The study is limited by its reliance on peer-reviewed sources from selected publishers, which may exclude relevant grey literature. It also notes a lack of quantitative validation for many reviewed tools and frameworks. Additionally, most identified methods are theoretical, with limited empirical evidence from large-scale industrial applications.</t>
  </si>
  <si>
    <t>**Objectives:** The paper investigates how software architecture can be integrated into requirements elicitation to support rapid software development. It aims to identify state-of-the-art tools, techniques, and frameworks that strengthen the link between requirements and architecture, highlight gaps and challenges, and propose ways to improve traceability and adaptability. It also seeks to establish a resource bank for researchers and practitioners.</t>
  </si>
  <si>
    <t>**Research Questions:** How are software architecture and requirements elicitation connected, and what are their tools, techniques, and challenges?; Is it possible to accommodate requirements in software architecture using recent frameworks and methods?; What gaps exist between architecture and requirements in research, industry, and academia?; How can the Architecture-Centric Requirement Elicitation (ACRE) approach bridge these gaps?; What processes, tools, and techniques best support ACRE?</t>
  </si>
  <si>
    <t>Embora a IA não invente informações completamente novas, ela distorce o objetivo da última questão de pesquisa ao inserir a palavra "best", o que altera a intenção da pergunta de interpretativa para avaliativa.</t>
  </si>
  <si>
    <t>**Methodology:** The study follows a systematic literature review protocol, using guidelines from Petersen et al. The process included review protocol development, inclusion/exclusion criteria, search strategies, and data extraction/synthesis. Sources were restricted to peer-reviewed journals and conferences (IEEE, Elsevier, Springer, ACM, Taylor &amp; Francis), with works published between 2009 and 2021. In total, 61 primary studies were analyzed for relevance to ACRE, with categorization of tools, techniques, and frameworks. Data was synthesized into dendrograms, taxonomies, and comparative analyses to identify gaps and solutions.</t>
  </si>
  <si>
    <t>**Main Findings:** The review identified more than 60 tools, frameworks, and techniques relevant to architecture-centric requirements elicitation. Service-Oriented Architecture, Knowledge-Sharing Architecture, and multi-model approaches provide different strengths in aligning requirements with design. Traceability and quality attributes are crucial for accommodating requirements into architecture. Research gaps exist particularly in identifying architecturally significant requirements, addressing trade-offs, and framing business requirements. A taxonomical resource bank was developed to guide practitioners with categorized tools and methods. The study found hybrid and multi-objective methods underutilized, while single-objective tools dominate current practice.</t>
  </si>
  <si>
    <t>**Conclusions:** The study concludes that integrating architecture with requirements elicitation enhances traceability, adaptability, and efficiency in rapid software development. ACRE-based approaches are effective in bridging gaps between requirements engineering, software design, and architecture. The resource bank and categorizations provide a foundation for both academic and industrial applications. However, more research is needed in hybrid approaches and in aligning business modelling with architectural practices.</t>
  </si>
  <si>
    <t>**Limitations:** The review is limited to peer-reviewed sources between 2009 and 2021; no quantitative meta-analysis was conducted; and the field lacks sufficient empirical validation of many proposed tools and methods.</t>
  </si>
  <si>
    <t>Erro factual claro (uma data incorreta) e uma afirmação que, embora tecnicamente verdadeira, não representa uma limitação reconhecida pelos autores, mas sim uma crítica metodológica externa introduzida pela IA.</t>
  </si>
  <si>
    <t>**Objectives:** The paper aims to analyze how computer science and technology contribute to and drive the development of the Internet of Things (IoT). It explores the core technologies, structural models, and practical applications of IoT, highlighting the foundational role of computer science in enabling its growth.</t>
  </si>
  <si>
    <t xml:space="preserve">Adiciona It explores the core technologies, structural models, and practical applications of IoT, </t>
  </si>
  <si>
    <t>**Research Questions:** What are the key concepts and core technologies underpinning the Internet of Things?; How does computer science provide a foundation for IoT development?; What structural models and applications demonstrate the interaction between computer science and IoT?; What challenges limit the widespread adoption of IoT despite technological advancements?</t>
  </si>
  <si>
    <t xml:space="preserve">Nao possui questões explicitas porém as questões fornecidas podem ser consideradas corretas </t>
  </si>
  <si>
    <t>**Study Type:** conceptual/analytical review</t>
  </si>
  <si>
    <t>**Methodology:** The study uses an analytical review approach, examining the concept of IoT, its three-tier structural model, and core enabling technologies such as RFID and sensor networks. It illustrates applications through diagrams and case examples (e.g., IoT in medical systems) and discusses societal and technical perspectives on computer science's role in IoT. The analysis is primarily qualitative, drawing from theoretical and applied literature.</t>
  </si>
  <si>
    <t>**Main Findings:** Computer science and technology have laid a solid foundation for IoT by providing critical innovations such as RFID, network communication, and layered architectures. The three-tier IoT structure (perception, network, and application layers) organizes interactions efficiently, supporting scalability and diverse applications. Practical implementations, including medical IoT systems, show the transformative potential of combining computer science with IoT. However, the adoption of IoT remains uneven, partly due to limitations in the dissemination of computer science knowledge and the availability of skilled personnel.</t>
  </si>
  <si>
    <t xml:space="preserve">Menciona que CS&amp;T é fundação de IOT, porém chega a conclusão de adoption of IoT remains uneven, devido a diversas limitações </t>
  </si>
  <si>
    <t>**Conclusions:** Computer science and technology are central to the advancement of IoT, enabling both theoretical frameworks and practical applications. Strengthening technical expertise and expanding societal awareness are necessary to overcome current limitations and ensure IoT's sustainable development.</t>
  </si>
  <si>
    <t>**Limitations:** Not explicitly stated; however, the discussion implies that challenges include limited dissemination of computer science knowledge, shortage of skilled professionals, and barriers to widespread adoption.</t>
  </si>
  <si>
    <t>**Objectives:** The paper aims to analyze how computer science and technology promote and support the development of the Internet of Things (IoT). It emphasizes the foundational role of computing technologies in IoT infrastructure and discusses how technological progress facilitates IoT adoption across industries.</t>
  </si>
  <si>
    <t>**Research Questions:** What are the core concepts and technologies underpinning IoT?; How does computer science drive the development and application of IoT?; What organizational and structural models support IoT integration?</t>
  </si>
  <si>
    <t>**Methodology:** The study adopts a descriptive and analytical approach, reviewing IoT concepts, core technologies, and structural frameworks. It discusses the three-tier IoT architecture and applies case-based illustrations such as medical system models to demonstrate how computer science supports IoT implementation. The methodology relies on qualitative synthesis of existing literature and conceptual models rather than empirical data collection.</t>
  </si>
  <si>
    <t>**Main Findings:** Computer science provides the technological foundation for IoT development, particularly through innovations in networking, data processing, and software frameworks. The IoT is structured around a three-tier model (perception, network, and application layers), which organizes data collection, transmission, and utilization. Advances in computing technologies such as RFID and sensor systems enhance IoT scalability and integration into domains like healthcare. However, challenges persist, including limited diffusion of computer science knowledge and uneven technical capacity among practitioners.</t>
  </si>
  <si>
    <t xml:space="preserve">Menciona que CS&amp;T é fundação de IOT, e adiciona limitações da tecnologia </t>
  </si>
  <si>
    <t>**Conclusions:** Computer science and technology are indispensable drivers of IoT growth, providing both infrastructure and methodological frameworks. As computing advances, IoT will become more structured, efficient, and widely applied, particularly in critical areas such as healthcare and smart systems.</t>
  </si>
  <si>
    <t>**Limitations:** Not explicitly stated; implied limitations include the conceptual rather than empirical nature of the analysis and the lack of detailed case studies or quantitative validation.</t>
  </si>
  <si>
    <t>**Objectives:** Examine how advances in computer science and technology drive and support the development of the Internet of Things (IoT). Highlight the foundational role of computing in IoT architecture, applications, and industry adoption, and analyze challenges and opportunities for future growth.</t>
  </si>
  <si>
    <t>**Research Questions:** What is the relationship between computer science and the development of IoT?; Which core technologies of computer science are most influential in IoT evolution?; How do computer science advancements improve IoT architecture, efficiency, and application scenarios?; What challenges limit IoT's development despite computing progress?</t>
  </si>
  <si>
    <t>**Study Type:** conceptual and analytical review</t>
  </si>
  <si>
    <t>**Methodology:** The paper synthesizes conceptual definitions of IoT and its layered structure, and analyzes how core computer science technologies (such as RFID, sensors, networking, and software systems) enable IoT functions. It discusses examples like IoT applications in medicine to illustrate practical impacts. The analysis is qualitative and based on logical argumentation rather than empirical data.</t>
  </si>
  <si>
    <t>**Main Findings:** Computer science and technology provide the necessary foundation for IoT by enabling data collection, transmission, and processing. Core technologies like RFID, cloud computing, and software integration are central to IoT's architecture and scalability. The three-tier IoT model (perception, network, and application layers) is directly supported by advances in computer science. IoT applications, such as medical systems, show how computing advancements improve organization and efficiency. However, limitations in the widespread adoption of computing and shortage of skilled personnel remain obstacles.</t>
  </si>
  <si>
    <t>**Conclusions:** The development of IoT is inseparable from advances in computer science and technology. Continuous innovation in computing is essential to improving IoT's reliability, scalability, and applicability. For IoT to reach its full potential, issues of accessibility, professional expertise, and broader dissemination of computing technologies must be addressed.</t>
  </si>
  <si>
    <t>**Objectives:** The paper aims to analyze how advances in computer science and technology drive and promote the development of the Internet of Things (IoT). It emphasizes the foundational role of core technologies, architectural models, and applied systems in enabling IoT expansion.</t>
  </si>
  <si>
    <t>**Research Questions:** What are the fundamental concepts of IoT technology?; Which core technologies in computer science contribute most to IoT development?; How does the three-tier IoT architecture support its growth?; In what ways has computer science established the foundation for IoT applications?</t>
  </si>
  <si>
    <t>**Methodology:** The study adopts a descriptive and analytical approach, synthesizing literature and technical discussions on IoT's conceptual foundations, core enabling technologies, and system architectures. It introduces models such as RFID-based frameworks and the three-tier IoT structure, and provides diagrams illustrating applications, including IoT medical systems. The analysis draws on theoretical examination rather than empirical data collection.</t>
  </si>
  <si>
    <t>**Main Findings:** The paper identifies computer science as a cornerstone in IoT development, highlighting technologies such as RFID, networking, and software engineering as critical enablers. It emphasizes the importance of the three-layer architecture (perception, network, application) for structuring IoT systems. Applications in sectors like healthcare demonstrate how IoT can improve organization and efficiency. Furthermore, the paper stresses that IoT relies on the integration of computer science to achieve scalability and practical functionality.</t>
  </si>
  <si>
    <t>**Conclusions:** Computer science and technology play an essential driving role in advancing IoT, both as a foundation and as a continuous enabler of innovation. The integration of core technologies and structured frameworks supports the wider application and organization of IoT systems.</t>
  </si>
  <si>
    <t>**Objectives:** The paper examines how computer science and technology promote and support the development of the Internet of Things (IoT). It aims to clarify the foundational role of computer science in establishing IoT frameworks, analyzing its core technologies, and exploring organizational and structural models of IoT.</t>
  </si>
  <si>
    <t>**Research Questions:** What is the relationship between computer science and the development of IoT?; Which core technologies of computer science most directly drive IoT advancement?; How does the three-tier structure of IoT reflect the influence of computer science?; What challenges exist in applying computer science fully to IoT development?</t>
  </si>
  <si>
    <t>**Study Type:** conceptual/analytical study</t>
  </si>
  <si>
    <t>**Methodology:** The paper employs a conceptual analysis based on literature and models of IoT development. It reviews the concept of IoT technology, analyzes core technologies such as RFID and networked systems, and discusses the three-tier architecture of IoT. It also examines case examples, such as IoT applications in medical systems, to illustrate how computer science principles are embedded in practical implementations.</t>
  </si>
  <si>
    <t>**Main Findings:** Computer science and technology provide the essential foundation for IoT, enabling data collection, transmission, and intelligent processing. Core technologies like RFID and layered network structures are central to IoT functionality. The three-tier IoT structure demonstrates how computer science organizes sensing, transmission, and application layers. Despite progress, limitations remain in the widespread adoption of computer science within IoT, particularly in technical diffusion and resource allocation.</t>
  </si>
  <si>
    <t>**Conclusions:** Computer science and technology are indispensable drivers of IoT development. They underpin both the architecture and applications of IoT, yet challenges in adoption and resource deployment need to be addressed. Continued integration of computer science advances will accelerate the maturity and societal impact of IoT.</t>
  </si>
  <si>
    <t>**Objectives:** The paper aims to explore how computer science and related technologies contribute to and accelerate the development of the Internet of Things (IoT). It emphasizes the foundational role of computer science in shaping IoT's technical architecture, improving its organizational structure, and promoting its applications in areas such as healthcare and industry.</t>
  </si>
  <si>
    <t>Adiciona areas such as healthcare and industry</t>
  </si>
  <si>
    <t>**Research Questions:** What is the relationship between computer science and the development of IoT?; Which core technologies of computer science drive IoT progress?; How does IoT's three-tier architecture benefit from computer science?; What challenges and limitations currently hinder IoT's growth?</t>
  </si>
  <si>
    <t>**Methodology:** The paper uses a descriptive and analytical approach to examine the links between computer science and IoT. It reviews the concepts of IoT, analyzes the core enabling technologies (such as RFID, software systems, and layered architectures), and discusses organizational models and application domains. Diagrams and structural models are used to illustrate technical architectures, including a three-tier IoT structure and a healthcare-oriented IoT model.</t>
  </si>
  <si>
    <t>**Main Findings:** Computer science provides the technical foundation for IoT development, particularly through innovations in networking, data processing, and system architectures. Core technologies like RFID and software engineering enable IoT's layered structure and facilitate its organization. The three-tier IoT architecture (perception, network, and application layers) demonstrates how computer science supports system integration. Applications in healthcare highlight IoT's transformative potential. Despite progress, challenges remain in scaling IoT adoption, ensuring interoperability, and addressing the uneven spread of technical expertise.</t>
  </si>
  <si>
    <t>**Conclusions:** The development of IoT is inseparable from advances in computer science and technology. Strengthening the integration of core computing technologies with IoT infrastructures will further enhance its efficiency and broaden its applications. The paper concludes that continued innovation in computer science is key to unlocking IoT's future growth.</t>
  </si>
  <si>
    <t>**Limitations:** Not explicitly stated; the paper is largely conceptual and lacks empirical validation or systematic data analysis. It relies primarily on descriptive examples and structural models.</t>
  </si>
  <si>
    <t>**Objectives:** The study aims to investigate how AI-powered green training and development affect employee environmental knowledge and green behavior within organizations. Specifically, it examines the influence of personalized learning, gamification and simulation, and knowledge assessment and feedback on promoting sustainability-oriented employee behavior in SMEs in Pakistan.</t>
  </si>
  <si>
    <t>**Research Questions:** How does AI-powered personalized learning impact employee green knowledge and behavior?; How does AI-powered gamification and simulation impact employee green knowledge and behavior?; How does AI-powered knowledge assessment and feedback impact employee green knowledge and behavior?; Does employee green knowledge mediate the relationship between AI-powered green development initiatives and employee green behavior?</t>
  </si>
  <si>
    <t>**Study Type:** quantitative empirical study</t>
  </si>
  <si>
    <t>O estudo realmente é quantitativo empírico, mas o gabarito esperava a resposta direta “survey”; a IA respondeu de forma genérica.</t>
  </si>
  <si>
    <t>**Methodology:** Data were collected from 530 SMEs in Pakistan through an online survey, yielding 315 valid responses. The study employed validated questionnaire items measured on a five-point Likert scale, adapted from prior literature. Structural equation modeling (PLS-SEM) was used to test hypotheses, with reliability and validity confirmed through Cronbach's alpha, composite reliability, AVE, and discriminant validity checks. Mediation analysis was performed using bootstrapping with 5,000 resamples to evaluate the indirect effects of employee green knowledge.</t>
  </si>
  <si>
    <t>**Main Findings:** The study found that personalized learning, gamification and simulation, and knowledge assessment and feedback all significantly enhance employee environmental knowledge and green behavior. Employee green knowledge itself was found to strongly predict green behavior and served as a positive mediator between AI-powered training and employee behavior. Among the three dimensions, knowledge assessment and feedback had the strongest direct impact on behavior, followed by gamification and personalized learning. These findings confirm that AI-based green training improves environmental attitudes and sustainable workplace behavior in line with the Theory of Planned Behavior.</t>
  </si>
  <si>
    <t>Resposta correta, mas incluiu ranking (knowledge assessment &gt; gamificação &gt; personalized learning) que não consta no gabarito (embora o artigo mostre coeficientes); é um detalhe extra além do esperado.</t>
  </si>
  <si>
    <t>**Conclusions:** AI-powered training and development significantly improve employee green knowledge and behavior, offering organizations an effective strategy for promoting sustainability. A multi-dimensional approach that integrates personalization, gamification, and knowledge reinforcement maximizes impact. The results provide practical implications for leveraging AI to strengthen green human resource management and cultivate sustainability-focused workforces globally.</t>
  </si>
  <si>
    <t>**Limitations:** The study is limited to SMEs in Pakistan, which may restrict generalizability to other contexts. The reliance on self-reported data raises the possibility of social desirability bias. Future research should incorporate more diverse samples and objective behavioral measures.</t>
  </si>
  <si>
    <t>**Objectives:** To examine how AI-powered green training and development initiatives—through personalized learning, gamification and simulation, and knowledge assessment and feedback—affect employees' environmental knowledge and subsequent green behavior. The study aims to provide empirical evidence on the role of AI in promoting sustainable practices within organizations, particularly in SMEs.</t>
  </si>
  <si>
    <t>**Research Questions:** How does AI-powered personalized learning influence employee green knowledge and behavior?; How do AI-powered gamification and simulation influence employee green knowledge and behavior?; How do AI-powered knowledge assessment and feedback influence employee green knowledge and behavior?; Does employee green knowledge mediate the relationship between AI-powered training dimensions and employee green behavior?</t>
  </si>
  <si>
    <t>**Study Type:** quantitative empirical study (survey-based, structural equation modeling)</t>
  </si>
  <si>
    <t>**Methodology:** A questionnaire-based survey was distributed to 530 SMEs in Pakistan, yielding 315 valid responses after data cleaning. Constructs were measured using validated items from prior studies, adapted to the research context, and responses were collected on a five-point Likert scale. Data were analyzed using Partial Least Squares Structural Equation Modeling (PLS-SEM) with bootstrapping (5,000 resamples) to assess measurement reliability, convergent and discriminant validity, and to test direct and mediating effects. Mediation analysis examined whether employee green knowledge mediated the relationship between AI-powered training dimensions and green behavior.</t>
  </si>
  <si>
    <t>**Main Findings:** All three AI-powered training dimensions—personalized learning, gamification and simulation, and knowledge assessment and feedback—significantly improved employee green knowledge and behavior. Knowledge assessment and feedback had the strongest direct effect on green behavior, followed by gamification and simulation, while personalized learning showed a smaller but significant impact. Employee green knowledge was a significant predictor of green behavior and mediated the effects of the AI-powered training dimensions. The findings suggest that multimodal AI-driven training approaches are particularly effective in fostering pro-environmental behavior among employees.</t>
  </si>
  <si>
    <t>Inclui ranking da força dos efeitos, o que não consta no gabarito (embora apareça nos resultados do artigo). Portanto, está correto mas vai além do esperado.</t>
  </si>
  <si>
    <t>**Conclusions:** AI-powered green training and development significantly enhance employee environmental knowledge and behavior, supporting the creation of sustainable organizational cultures. A diverse approach using personalization, gamification, and continuous feedback maximizes impact. While conducted in the context of Pakistani SMEs, the study's implications extend globally for integrating AI into sustainability-driven HR practices.</t>
  </si>
  <si>
    <t>**Limitations:** The study is limited by its focus on SMEs in Pakistan, which may restrict generalizability. Reliance on self-reported survey data introduces the risk of social desirability bias. The convenience sampling method may also limit the representativeness of the findings.</t>
  </si>
  <si>
    <t>As duas limitações corretas estão presentes, mas a menção à “convenience sampling” não aparece no gabarito (apesar de estar no artigo). É correta pelo texto base, mas não pelo gabarito esperado.</t>
  </si>
  <si>
    <t>**Objectives:** This paper investigates how AI-powered training and development influence employee environmental knowledge and subsequent green behavior in organizations. It aims to assess the effectiveness of three AI-driven training dimensions—personalized learning, gamification and simulation, and knowledge assessment and feedback—on fostering sustainable employee practices. The broader goal is to provide empirical evidence on the role of AI in supporting Green Human Resource Management (GHRM) initiatives, particularly in the context of developing economies.</t>
  </si>
  <si>
    <t>**Research Questions:** How does AI-powered personalized learning impact employee green knowledge and behavior?; How does AI-powered gamification and simulation impact employee green knowledge and behavior?; How does AI-powered knowledge assessment and feedback impact employee green knowledge and behavior?; Does employee green knowledge mediate the relationship between AI-powered green training and employee green behavior?</t>
  </si>
  <si>
    <t>**Study Type:** quantitative empirical study (survey with structural equation modeling)</t>
  </si>
  <si>
    <t>**Methodology:** The study surveyed managers and employees from SMEs in Pakistan using a structured questionnaire. A total of 530 questionnaires were distributed, with 348 returned and 315 valid responses analyzed. Measurement items for AI-powered training, environmental knowledge, and green behavior were adapted from prior validated studies and measured on a 5-point Likert scale. Data analysis was conducted using PLS-SEM with reliability, validity, and bootstrapping tests to evaluate direct and mediating effects.</t>
  </si>
  <si>
    <t>**Main Findings:** All three AI-powered training dimensions significantly improved employee green knowledge and green behavior. Personalized learning enhanced knowledge retention and positively influenced pro-environmental actions. Gamification and simulation demonstrated strong effects by making sustainability training engaging and interactive. Knowledge assessment and feedback provided continuous reinforcement, producing the strongest direct impact on both knowledge and behavior. Mediation analysis confirmed that employee green knowledge partially mediates the relationship between AI-powered training dimensions and green behavior, reinforcing the Theory of Planned Behavior framework.</t>
  </si>
  <si>
    <t>Inclui detalhes interpretativos extras (personalized learning melhora retenção, gamificação “forte efeito”) e hierarquia dos impactos, que não constam no gabarito.</t>
  </si>
  <si>
    <t>**Conclusions:** AI-powered green training and development significantly promote employee environmental awareness and sustainable practices. A multifaceted training approach—combining personalization, gamification, and knowledge assessment—maximizes effectiveness in cultivating a green workforce. While studied in the Pakistani SME context, the findings have global implications for integrating AI into corporate sustainability and HRM practices.</t>
  </si>
  <si>
    <t>**Limitations:** The study was limited to SMEs in Pakistan, which restricts generalizability to other contexts. The use of self-reported survey data may introduce social desirability bias. Future research should consider larger and more diverse samples, longitudinal designs, and objective measures of employee behavior.</t>
  </si>
  <si>
    <t>Incluiu as duas limitações corretas, mas acrescentou elementos extras não listados no gabarito (futuras pesquisas, amostras maiores, longitudinal)</t>
  </si>
  <si>
    <t xml:space="preserve">**Objectives:** The study investigates how AI-driven green training and development initiatives affect employees' environmental knowledge and subsequent green behavior in small and medium-sized enterprises (SMEs) in Pakistan. It aims to assess the influence of three AI-powered training dimensions—personalized learning, gamification and simulation, and knowledge assessment and feedback—on green knowledge and behavior, grounded in the Theory of Planned Behavior (TPB).
</t>
  </si>
  <si>
    <t>**Research Questions:** How do AI-powered personalized learning, gamification and simulation, and knowledge assessment and feedback affect employees' environmental knowledge?; How do these AI-powered training dimensions impact employees' green behavior?; Does employee green knowledge mediate the relationship between AI-powered training and green behavior?</t>
  </si>
  <si>
    <t>O termo está correto de forma geral, mas o gabarito pedia a forma mais específica (“survey”).</t>
  </si>
  <si>
    <t>**Methodology:** The study used a survey-based design targeting SMEs in Pakistan. A total of 530 questionnaires were distributed online, yielding 348 responses, with 315 valid cases analyzed. Validated measurement items from prior studies were adapted to assess AI-powered training, employee green knowledge, and green behavior using a five-point Likert scale. Data were analyzed using Partial Least Squares Structural Equation Modeling (PLS-SEM), with reliability, validity, and mediation effects tested through bootstrapping.</t>
  </si>
  <si>
    <t>**Main Findings:** All three AI-powered training dimensions—personalized learning, gamification and simulation, and knowledge assessment and feedback—significantly enhanced employee environmental knowledge and green behavior. Employee green knowledge was found to significantly mediate the relationship between AI-powered training and green behavior, confirming the role of knowledge as a bridge between training inputs and behavioral outcomes. Gamification and simulation showed particularly strong effects on green behavior, while knowledge assessment and feedback had the most substantial overall influence.</t>
  </si>
  <si>
    <t>Resposta correta no essencial, mas inclui interpretação adicional sobre força relativa dos efeitos, que não aparece no gabarito.</t>
  </si>
  <si>
    <t>**Conclusions:** AI-powered training and development approaches effectively improve both green knowledge and green behavior among employees. A multifaceted training strategy that combines personalization, gamification, and ongoing knowledge assessment is especially effective for fostering a sustainable workforce. The findings highlight the importance of integrating AI into GHRM to support organizational sustainability goals.</t>
  </si>
  <si>
    <t>**Limitations:** The study was conducted within Pakistani SMEs, which may limit the generalizability of findings across different contexts. The reliance on self-reported survey data raises the possibility of social desirability bias. Broader, more diverse samples and objective behavioral measures are recommended for future research.</t>
  </si>
  <si>
    <t>Incluiu as limitações certas, mas adicionou recomendações de pesquisas futuras que não constam no gabarito.</t>
  </si>
  <si>
    <t>**Objectives:** The study aims to investigate how AI-powered green training and development initiatives influence employees' environmental knowledge and their subsequent green behavior. It specifically examines the roles of personalized learning, gamification and simulation, and knowledge assessment and feedback in enhancing sustainability practices among employees. The objective is to provide empirical evidence for the integration of AI into Green Human Resource Management (GHRM) to promote environmental stewardship.</t>
  </si>
  <si>
    <t>**Research Questions:** Does AI-powered personalized learning impact employee green knowledge and behavior?; Does AI-powered gamification and simulation impact employee green knowledge and behavior?; Does AI-powered knowledge assessment and feedback impact employee green knowledge and behavior?; Does employee green knowledge mediate the relationship between AI-powered green training and employee green behavior?</t>
  </si>
  <si>
    <t>A resposta é correta no geral, mas o gabarito esperava “survey” de forma explícita</t>
  </si>
  <si>
    <t>**Methodology:** Data were collected through a survey distributed to 530 managers of SMEs in Pakistan, with 348 responses received and 315 valid for analysis. A five-point Likert scale was used, with questionnaire items adapted from validated prior studies. The study employed Partial Least Squares Structural Equation Modeling (PLS-SEM) to test the hypothesized relationships and mediation effects, using 5,000 bootstrap resamples for significance testing. Reliability, convergent validity, and discriminant validity were confirmed using Cronbach's alpha, composite reliability, AVE, and HTMT criteria.</t>
  </si>
  <si>
    <t>**Main Findings:** All three AI-powered training dimensions—personalized learning, gamification and simulation, and knowledge assessment and feedback—significantly improved employee environmental knowledge. This increased knowledge, in turn, positively influenced green behavior, supporting the Theory of Planned Behavior framework. Mediation analysis showed that employee green knowledge mediated the effects of AI-powered training on green behavior. Among the three dimensions, knowledge assessment and feedback had the strongest direct impact on green behavior, while gamification highlighted the role of immersive learning in motivating sustainable practices.</t>
  </si>
  <si>
    <t>Resposta essencialmente correta, mas extrapolou com interpretações extras (imersão, destaque de gamificação, ranking de efeitos).</t>
  </si>
  <si>
    <t>**Conclusions:** AI-powered green training and development effectively promote employee green knowledge and behavior, demonstrating the value of integrating AI into GHRM. The study confirms that a multi-dimensional AI approach—combining personalization, gamification, and feedback—creates a more engaged and environmentally responsible workforce. These findings offer organizations a practical pathway to strengthen sustainability initiatives through AI-driven employee development.</t>
  </si>
  <si>
    <t>**Limitations:** The study is limited to SMEs in Pakistan, which may affect the generalizability of findings to other regions and organizational contexts. Reliance on self-reported data introduces potential social desirability bias. The convenience sampling method also restricts external validity.</t>
  </si>
  <si>
    <t>Incluiu duas limitações corretas, mas acrescentou “convenience sampling” que não estava no gabarito.</t>
  </si>
  <si>
    <t>**Objectives:** The study aims to examine how AI-powered green training and development initiatives affect employees' environmental knowledge and green behavior in small and medium-sized enterprises (SMEs) in Pakistan. It seeks to understand the mediating role of employee environmental knowledge in translating AI-driven personalized learning, gamification and simulation, and knowledge assessment and feedback into sustainable workplace behavior.</t>
  </si>
  <si>
    <t>**Research Questions:** How do AI-powered personalized learning, gamification and simulation, and knowledge assessment and feedback influence employee green knowledge?; How do these AI-powered green training practices affect employee green behavior?; Does employee green knowledge mediate the relationship between AI-powered training dimensions and employee green behavior?</t>
  </si>
  <si>
    <t>**Study Type:** quantitative empirical study (survey-based, PLS-SEM analysis)</t>
  </si>
  <si>
    <t>**Methodology:** The researchers distributed 530 online questionnaires to managers in Pakistani SMEs and obtained 348 responses, with 315 valid for analysis. A survey instrument adapted from validated prior studies measured AI-powered training dimensions, employee green knowledge, and employee green behavior on a five-point Likert scale. Data were analyzed using PLS-SEM with a two-step modeling approach, testing measurement validity, reliability, and structural paths. Hypotheses were assessed through bootstrapping with 5,000 resamples.</t>
  </si>
  <si>
    <t>**Main Findings:** All three AI-powered green training dimensions—personalized learning, gamification and simulation, and knowledge assessment and feedback—significantly improved employee green knowledge. Each dimension also had a positive and significant direct effect on employee green behavior. Employee green knowledge itself strongly predicted green behavior and mediated the relationship between AI-powered training dimensions and behavior. The results underscore that multimodal AI-based training approaches enhance engagement, knowledge retention, and sustainability-oriented actions.</t>
  </si>
  <si>
    <t>O núcleo está certo, mas a IA adiciona interpretação extra (“engajamento, retenção”) não presente no gabarito.</t>
  </si>
  <si>
    <t>**Conclusions:** AI-powered green training can significantly improve employees' environmental knowledge and foster green behavior in the workplace. The findings support the Theory of Planned Behavior, highlighting that knowledge strengthens attitudes and intentions that drive sustainable actions. Organizations can leverage diverse AI tools in training programs to cultivate a workforce committed to environmental stewardship.</t>
  </si>
  <si>
    <t>**Limitations:** The study focused only on SMEs in Pakistan, limiting generalizability across contexts; self-reported data may introduce social desirability bias; convenience sampling may restrict representativeness. Future research should expand to varied industries, incorporate objective behavioral measures, and consider additional organizational and cultural factors.</t>
  </si>
  <si>
    <t>**Objectives:** To investigate how AI-powered training and development initiatives influence employee environmental knowledge and subsequent green behavior within organizations. The study focuses on personalized learning, gamification and simulation, and knowledge assessment and feedback as mechanisms to strengthen green human resource management practices.</t>
  </si>
  <si>
    <t>**Research Questions:** How does AI-powered personalized learning affect employee green knowledge and behavior?; How do AI-powered gamification and simulation impact employee green knowledge and behavior?; How does AI-powered knowledge assessment and feedback influence employee green knowledge and behavior?; Does employee green knowledge mediate the relationship between AI-powered training dimensions and employee green behavior?</t>
  </si>
  <si>
    <t>Está certo no geral, mas não usou o termo específico do gabarito.</t>
  </si>
  <si>
    <t>**Methodology:** The study surveyed 530 employees in Pakistani SMEs using a structured questionnaire, achieving 315 valid responses. Established scales were adapted to measure AI-powered training dimensions, employee environmental knowledge, and green behavior, rated on a five-point Likert scale. Data were analyzed using PLS-SEM with measurement model validation (factor loadings, Cronbach's alpha, composite reliability, AVE) and structural model testing, including bootstrapping to assess significance and mediation effects.</t>
  </si>
  <si>
    <t>**Main Findings:** All three AI-powered training dimensions—personalized learning, gamification and simulation, and knowledge assessment and feedback—significantly improved employee environmental knowledge. Environmental knowledge positively influenced employee green behavior and mediated the effects of training dimensions. Knowledge assessment and feedback showed the strongest direct effect on green behavior, while gamification and personalized learning also contributed positively. The multimodal use of AI tools proved more effective than relying on a single dimension.</t>
  </si>
  <si>
    <t>O essencial está certo, mas extrapolou (ranking dos efeitos + multimodal mais eficaz).</t>
  </si>
  <si>
    <t>**Conclusions:** AI-powered green training significantly enhances employees' environmental knowledge and fosters green workplace behavior. A multifaceted approach combining personalization, gamification, and continuous feedback maximizes impact. The findings provide a roadmap for organizations to integrate AI into sustainability initiatives and build environmentally responsible workforces.</t>
  </si>
  <si>
    <t>**Limitations:** The study was limited to SMEs in Pakistan, which may restrict generalizability. Self-reported data may introduce social desirability bias. Future studies should include more diverse contexts, objective behavioral indicators, and broader organizational factors.</t>
  </si>
  <si>
    <t>Acrescentou limitações e recomendações extras que não constam no gabarito.</t>
  </si>
  <si>
    <t>**Objectives:** The study aims to investigate how AI-powered green training and development—through personalized learning, gamification and simulation, and knowledge assessment and feedback—affect employees' environmental knowledge and subsequent green behavior. It seeks to provide empirical evidence on AI's role in fostering sustainable practices within organizations, particularly SMEs in Pakistan.</t>
  </si>
  <si>
    <t>**Research Questions:** How do AI-powered personalized learning, gamification and simulation, and knowledge assessment and feedback influence employee green knowledge?; How do these AI-powered training dimensions impact employee green behavior?; Does employee green knowledge mediate the relationship between AI-powered training and employee green behavior?</t>
  </si>
  <si>
    <t>**Methodology:** The researchers conducted a survey among SMEs in Pakistan, distributing 530 questionnaires and obtaining 315 valid responses. Established scales from prior studies were adapted to measure AI-powered green training dimensions, employee green knowledge, and green behavior using a five-point Likert scale. Data analysis was performed using PLS-SEM (Partial Least Squares Structural Equation Modeling), with bootstrapping (5,000 resamples) to test reliability, validity, and hypothesis significance.</t>
  </si>
  <si>
    <t>**Main Findings:** All three AI-powered training dimensions significantly improved employees' environmental knowledge, which in turn positively affected green behavior. Personalized learning enhanced knowledge retention and indirectly influenced behavior. Gamification and simulation were particularly effective in promoting direct behavioral change through interactive and immersive experiences. Knowledge assessment and feedback provided strong direct and indirect effects, reinforcing environmental practices. Mediation analysis confirmed that environmental knowledge acted as a significant mediator between AI-driven training and green behavior.</t>
  </si>
  <si>
    <t>ncluiu interpretações adicionais (retenção, gamificação imersiva, ranking).</t>
  </si>
  <si>
    <t>**Conclusions:** AI-powered training and development can transform organizational green initiatives by boosting both environmental knowledge and sustainable behavior among employees. A multifaceted training approach leveraging personalization, gamification, and feedback is most effective in cultivating environmentally conscious workforces. These findings offer organizations a roadmap for integrating AI into sustainability strategies globally.</t>
  </si>
  <si>
    <t>**Limitations:** The study was limited to SMEs in Pakistan, which may restrict generalizability to other regions or industries. Reliance on self-reported survey data introduces the risk of social desirability bias. Broader samples, objective behavioral measures, and contextual variables should be considered in future research.</t>
  </si>
  <si>
    <t>Adiciona elementos não previstos no gabarito.</t>
  </si>
  <si>
    <t>COT</t>
  </si>
  <si>
    <t xml:space="preserve">**Objectives:** Survey and evaluate how AI—especially large language models—assists literature reviews, outlining current tools and emerging methods. Identify benefits and challenges (e.g., hallucinations) and discuss approaches such as knowledge augmentation and agentic frameworks to improve reliability and effectiveness.
</t>
  </si>
  <si>
    <t>A resposta amplia e detalha mais do que o gabarito, mas está alinhada ao artigo (que menciona tanto o papel dos LLMs, quanto desafios e soluções).</t>
  </si>
  <si>
    <t xml:space="preserve">**Research Questions:** Which AI tools and techniques are currently used to automate or assist literature reviews?; What emerging methods—particularly LLM-based approaches, knowledge augmentation, and agentic frameworks—are being adopted and how do they work?; What advantages and limitations (e.g., hallucinations, coverage, feature gaps) characterize these approaches?; What open issues and future directions could make AI-assisted reviews more reliable and useful?
</t>
  </si>
  <si>
    <t>**Study Type:** Narrative literature review (survey)</t>
  </si>
  <si>
    <t>**Methodology:** The authors synthesize prior work on AI-assisted literature reviews, first summarizing traditional ML-based screening/extraction tools and then detailing LLM-era methods, with emphasis on knowledge augmentation and agentic RAG frameworks. They provide exemplars (e.g., KALA, KAPING, Adaptive-RAG, KnowAgent) and discuss their reported capabilities and constraints. A feature comparison table contrasts several LLM-based review tools on citation handling, recency, and other capabilities. Open issues and future directions are distilled from this comparative reading.</t>
  </si>
  <si>
    <t>Está de acordo com o artigo, mas muito mais detalhado que o gabarito.</t>
  </si>
  <si>
    <t>**Main Findings:** Traditional systems (e.g., LitSuggest, Research Screener, Dextr) help with screening or extraction but are limited in scope and often miss full-text or broader sources. LLM-based methods improve contextual understanding and generation but suffer from hallucinations that undermine trust. Knowledge-augmented LLMs and agentic frameworks (e.g., agentic RAG) can mitigate these issues and boost performance by grounding and planning. Market tools still lack certain capabilities (e.g., always-up-to-date results, diagram generation, idea suggestion), indicating maturity gaps.</t>
  </si>
  <si>
    <t>Está correto em termos de conteúdo e coerente com o artigo, mas novamente mais interpretativo do que o gabarito.</t>
  </si>
  <si>
    <t>**Conclusions:** AI-assisted tools markedly accelerate literature reviews, and LLMs broaden what can be automated. Reliability remains the key bottleneck, but combining knowledge augmentation with agentic frameworks is a promising path to more effective, trustworthy systems.</t>
  </si>
  <si>
    <t>**Limitations:** Not explicitly stated; the review appears non-systematic, relies on illustrative examples, and does not empirically benchmark methods or define a reproducible search protocol.</t>
  </si>
  <si>
    <t>Essa resposta não corresponde ao artigo. O texto base reconhece sim uma limitação clara: hallucinations dos LLMs, a IA escreveu é uma inferência/interpretação.
Alucinação interpretativa.</t>
  </si>
  <si>
    <t>**Rationale (CoT):** "Objectives and scope are stated in the Abstract and Introduction; sections II.A and II.B describe current ML tools and emerging LLM-based methods</t>
  </si>
  <si>
    <t xml:space="preserve">**Objectives:** Survey current AI-assisted literature review tools and techniques with emphasis on LLM-based approaches; analyze their strengths and limitations (e.g., hallucinations and reliability); review emerging solutions such as knowledge augmentation (RAG) and agentic frameworks and compare available tools.
</t>
  </si>
  <si>
    <t>O núcleo do objetivo está correto (mapear ferramentas e discutir limitações/soluções), mas a ia amplia muito para aspectos não presentes no gabarito, como comparação explícita de features.</t>
  </si>
  <si>
    <t>**Research Questions:** What AI methods and tools are currently used to automate or assist literature reviews, and how do they perform across stages?; What limitations—especially hallucinations and reliability—affect LLM-based approaches?; Which knowledge-augmentation and agentic frameworks have been proposed to mitigate these issues, and what benefits/trade-offs do they introduce?; How do contemporary LLM-based review tools compare on features like recency, citations, and diagram/idea generation?</t>
  </si>
  <si>
    <t>O núcleo do
 objetivo está correto (mapear ferramentas e discutir limitações/soluções), mas a ia amplia muito para aspectos não presentes no gabarito, como comparação explícita de features.</t>
  </si>
  <si>
    <t>**Study Type:** Survey (narrative literature review)</t>
  </si>
  <si>
    <t>**Methodology:** The authors synthesize prior work on AI-assisted literature reviews by summarizing representative traditional tools and recent LLM-based systems. They review knowledge-augmentation (RAG-like) and agentic frameworks via illustrative examples from the literature and outline their mechanisms. A descriptive comparison (Table I) lists tools and contrasts selected features (e.g., recency, citations, diagram/idea support). No experimental dataset, controlled manipulation, or systematic search protocol is reported.</t>
  </si>
  <si>
    <t>Está correto na essência,
 mas extrapola ao inventar ausência explícita de protocolo (isso não está no artigo).</t>
  </si>
  <si>
    <t>**Main Findings:** Traditional machine-learning tools remain common but are scope-limited (often only titles/abstracts or specific corpora). LLM-based approaches improve coverage and capability but are hindered by hallucinations and reliability concerns; knowledge augmentation (e.g., KALA, KAPING, Adaptive-RAG) helps reduce these issues. Agentic frameworks can further enhance planning, retrieval, and task coordination, suggesting better performance when combined with RAG. A feature comparison indicates many tools lack always-up-to-date results, diagram generation, or idea-suggestion features.</t>
  </si>
  <si>
    <t>Correto e alinhado 
com o artigo, mas com interpretação ampliada (ênfase em performance e trade-offs).</t>
  </si>
  <si>
    <t>**Conclusions:** AI-assisted literature review tools increase productivity and are rapidly advancing with LLMs. Augmenting LLMs with external knowledge and embedding them in agentic frameworks is a promising direction to boost reliability and effectiveness, though gaps remain.</t>
  </si>
  <si>
    <t>**Limitations:** Not explicitly stated; the review presents a narrative synthesis without explicit search protocol or inclusion/exclusion criteria and relies on feature-based comparisons that may omit tools or introduce selection bias.</t>
  </si>
  <si>
    <t>Isso não aparece no artigo; o texto claramente reconhece a limitação das alucinações.
Alucinação interpretativa.</t>
  </si>
  <si>
    <t>**Rationale (CoT):** "Objectives and RQs were inferred from the Abstract and Introduction describing aims to examine current tools</t>
  </si>
  <si>
    <t xml:space="preserve">**Objectives:** Survey and synthesize AI-assisted methods for automating literature reviews across traditional ML and LLM-based tools. Analyze strengths and limitations (e.g., hallucinations) and examine mitigation via knowledge augmentation. Discuss agentic frameworks and future directions for more reliable and effective review workflows.
</t>
  </si>
  <si>
    <t>Está alinhada ao artigo, mas amplia demais em detalhes (recursos específicos e workflow).</t>
  </si>
  <si>
    <t>**Research Questions:** What AI methods and tools are currently used to automate stages of the literature review process; What emerging LLM-based approaches—especially knowledge augmentation (e.g., RAG, KGQA) and agentic frameworks—are being explored; What limitations and open issues persist in existing tools; How do popular LLM-based tools compare across recency, diagram generation, citation handling, and ideation features</t>
  </si>
  <si>
    <t>Está alinhada 
ao artigo, mas amplia demais em detalhes (recursos específicos e workflow).</t>
  </si>
  <si>
    <t>**Methodology:** Narrative survey organizing the field into current methods (traditional ML tools), emerging LLM-based tools, knowledge augmentation approaches (e.g., RAG, KGQA), and agentic frameworks. Representative systems are described and their reported capabilities and limitations synthesized from cited sources. A comparative feature matrix (Table I) contrasts popular LLM-based tools along recency, diagram generation, citation incorporation, and ideation support, followed by an open-issues discussion. Evidence is drawn from peer-reviewed papers and preprints listed in the references.</t>
  </si>
  <si>
    <t>Correto na essência, 
mas traz elementos adicionais (afirmação sobre uso de preprints/references como fonte de evidência) que não estão no artigo.</t>
  </si>
  <si>
    <t>**Main Findings:** Traditional tools often target narrow stages (screening or extraction) and operate on titles/abstracts, limiting coverage and accuracy. LLM-based tools broaden capabilities but suffer from hallucinations and data-source gaps; knowledge augmentation (RAG/KGs) improves reliability yet introduces retrieval, entity-linking, and scalability challenges. Agentic frameworks can enhance planning, retrieval, and robustness, though many are domain-limited or evaluated under constrained settings. The comparison highlights that tools commonly include citations, rarely generate diagrams, seldom suggest new ideas, and some fail to ensure up-to-date results by default.</t>
  </si>
  <si>
    <t>Em conformidade com o artigo, ainda que mais interpretativo do que o gabarito exige.</t>
  </si>
  <si>
    <t>**Conclusions:** AI-assisted literature review tools can substantially increase productivity, and coupling knowledge-augmented LLMs with agentic frameworks is a promising path to greater reliability. Nonetheless, mitigating hallucinations and addressing missing capabilities (recency, diagrams, ideation) remain necessary for practical adoption.</t>
  </si>
  <si>
    <t>Está correto, com um 
detalhe extra.</t>
  </si>
  <si>
    <t>Isso é incorreto 
 o artigo explicitamente reconhece alucinações como limitação
Alucinação interpretativa.</t>
  </si>
  <si>
    <t>**Rationale (CoT):** "Aims and challenges (productivity gains</t>
  </si>
  <si>
    <t xml:space="preserve">**Objectives:** Survey how AI—especially large language models—supports literature reviews and where it falls short. Synthesize current tools and emerging approaches, emphasizing hallucination risks and mitigation via knowledge augmentation and agentic frameworks. Provide a feature-level comparison of LLM-based tools and outline open issues.
</t>
  </si>
  <si>
    <t>Está coerente 
com o artigo, mas acrescenta elementos além do gabarito (feature-level comparison, open issues).</t>
  </si>
  <si>
    <t xml:space="preserve">**Research Questions:** What AI techniques and tools are currently used for automating literature reviews, and what are their limitations; How do emerging approaches such as knowledge-augmented LLMs and agentic frameworks address reliability and coverage; In what ways do popular LLM-based tools compare across practical capabilities for researchers; What open issues remain for trustworthy, up-to-date, and actionable literature review automation
</t>
  </si>
  <si>
    <t>**Study Type:** survey (narrative review)</t>
  </si>
  <si>
    <t>**Methodology:** The paper narratively synthesizes prior work and tools, grouping them into "Current methods" based on traditional ML/NLP and "Emerging methods" centered on LLMs with knowledge augmentation and agentic frameworks. It illustrates taxonomies (e.g., RAG techniques) and summarizes representative frameworks and systems. A comparative table lists market tools against selected features. No formal search protocol, inclusion/exclusion criteria, or quantitative synthesis is reported.</t>
  </si>
  <si>
    <t>Parte está correta, mas a menção à ausência de protocolo sistemático é uma inferência não presente no artigo.</t>
  </si>
  <si>
    <t>**Main Findings:** Traditional tools (e.g., LitSuggest, Research Screener, Dextr) are effective but often constrained by source coverage, abstract-only processing, or domain-specific training. LLM-based systems improve contextual understanding yet suffer from hallucinations; knowledge augmentation (RAG, KG-enhanced prompting) and adaptive retrieval can mitigate these weaknesses. Agentic frameworks that orchestrate LLMs and retrieval steps show promise for more reliable, task-aware pipelines. A market comparison highlights gaps such as lack of up-to-date results, absent diagram generation, and limited idea-suggestion features.</t>
  </si>
  <si>
    <t>Alinhado ao artigo, embora mais interpretativo que o gabarito exige.</t>
  </si>
  <si>
    <t>**Conclusions:** AI substantially accelerates literature reviews, but reliability hinges on mitigating LLM hallucinations. Combining knowledge augmentation with agentic frameworks is a promising path to more accurate and useful review automation.</t>
  </si>
  <si>
    <t>Incorreto, porque o artigo explicitamente reconhece as alucinações como limitação
Alucinação interpretativa</t>
  </si>
  <si>
    <t>**Rationale (CoT):** "Claims derive from the Abstract and Introduction stating aims and challenges</t>
  </si>
  <si>
    <t xml:space="preserve">**Objectives:** Survey and synthesize the state of AI-assisted literature review methods and tools, spanning traditional ML systems and LLM-based approaches. Identify core challenges (e.g., hallucinations, coverage limits) and assess knowledge augmentation and agentic frameworks as promising remedies.
</t>
  </si>
  <si>
    <t>Está alinhada, mas enfatiza desafios/soluções de forma mais detalhada que o gabarito.</t>
  </si>
  <si>
    <t xml:space="preserve">**Research Questions:** Which AI techniques and tools are currently used to automate stages of literature reviews and what do they offer; What limitations and risks (e.g., hallucinations, dataset bias, scope constraints) affect these systems; Which emerging approaches—knowledge augmentation (e.g., RAG, KGQA) and agentic frameworks—help mitigate these issues, and how do available tools compare in practical capabilities
</t>
  </si>
  <si>
    <t>Está 
alinhada, mas enfatiza desafios/soluções de forma mais detalhada que o gabarito.</t>
  </si>
  <si>
    <t>**Study Type:** Narrative review (survey)</t>
  </si>
  <si>
    <t>**Methodology:** The paper qualitatively synthesizes prior work and tools cited across the literature, organizing them as current methods versus emerging LLM-centric approaches. It discusses knowledge-augmented LLMs (with a RAG taxonomy) and agentic frameworks, and provides a feature comparison table of LLM-based tools. No formal systematic protocol or inclusion/exclusion criteria are reported; analysis is descriptive and feature-based, drawing on referenced studies and tool documentation.</t>
  </si>
  <si>
    <t>A descrição geral está certa, mas a menção à ausência de protocolo formal é interpretação da ia, não está no artigo.</t>
  </si>
  <si>
    <t>**Main Findings:** Traditional tools (e.g., LitSuggest, Research Screener) focus on titles/abstracts and limited phases, while Dextr targets extraction, leaving gaps in full-text coverage and later-review stages. LLM-based tools improve contextual summarization and citation understanding but still face reliability issues, notably hallucinations and database coverage limits. Knowledge augmentation (e.g., RAG, knowledge graphs, domain adapters) can substantially improve accuracy but depends on the quality and completeness of external knowledge sources. Agentic frameworks that coordinate retrieval, planning, and feedback show promise but raise scalability, evaluation, and domain-generalization concerns. The comparison table indicates many tools lack up-to-date results, diagram generation, or ideation support.</t>
  </si>
  <si>
    <t>Coerente com o artigo, mas extrapola para riscos adicionais (dataset bias, domínio, critérios de avaliação) que não estão no texto.</t>
  </si>
  <si>
    <t>**Conclusions:** AI-assisted tools can markedly accelerate literature reviews, but reliability and capability gaps remain. Combining knowledge-augmented LLMs with agentic frameworks is a promising path to more effective and trustworthy review pipelines.</t>
  </si>
  <si>
    <t>**Limitations:** Not explicitly stated; as a narrative survey it lacks a formal search protocol and may be selective in tool and study coverage. The feature comparison is limited in scope and may omit other relevant evaluation criteria.</t>
  </si>
  <si>
    <t>Isso não corresponde ao artigo; o texto explicitamente reconhece hallucinations como limitação
Alucinação interpretativa</t>
  </si>
  <si>
    <t>**Rationale (CoT):** "The abstract states productivity gains from AI tools while noting that LLMs "face challenges such as hallucinations</t>
  </si>
  <si>
    <t xml:space="preserve">**Objectives:** Survey current and emerging AI-assisted methods for automating literature reviews; assess benefits and limitations of LLM-based approaches—especially hallucinations; outline directions such as knowledge augmentation and agentic frameworks to improve reliability and effectiveness.
</t>
  </si>
  <si>
    <t>Está alinhado ao artigo, mas amplia um pouco além do gabarito.</t>
  </si>
  <si>
    <t>**Research Questions:** Which AI techniques and tools are currently used to automate parts of the literature-review workflow, and what are their strengths and weaknesses?; How do LLM-based, knowledge-augmented, and agentic approaches mitigate issues like hallucinations and improve review quality?; What feature gaps and future directions remain for AI-assisted literature review systems?</t>
  </si>
  <si>
    <t>Está alinhado
 ao artigo, mas amplia um pouco além do gabarito.</t>
  </si>
  <si>
    <t>**Methodology:** Narrative synthesis of prior research and market tools: describes representative traditional ML systems for screening/extraction, emerging LLM-based tools, and families of knowledge-augmentation (e.g., RAG) and agentic frameworks. Includes a comparative features table of LLM literature-review tools and an open-issues discussion. No formal search protocol, inclusion/exclusion criteria, or quantitative meta-analysis are reported.</t>
  </si>
  <si>
    <t>Parte está certa, mas a ausência de protocolo/meta-análise é inferência não mencionada no artigo.</t>
  </si>
  <si>
    <t>**Main Findings:** AI-assisted tools speed up literature reviews, but many widely used systems still rely on traditional ML and are limited to titles/abstracts or specific phases. LLM-based methods improve context handling yet suffer from hallucinations affecting reliability. Knowledge augmentation and agentic frameworks can reduce these issues and improve task performance. Many available tools lack up-to-date results, diagram generation, and idea suggestion capabilities, as shown in the comparison table.</t>
  </si>
  <si>
    <t>Correto e coerente com o artigo, apenas mais interpretativo que o gabarito.</t>
  </si>
  <si>
    <t>**Conclusions:** AI-assisted literature review tools enhance productivity; combining knowledge augmentation with agentic frameworks is a promising path toward more reliable, effective systems. Ongoing work is needed to curb hallucinations and close feature gaps highlighted in current tools.</t>
  </si>
  <si>
    <t>o artigo explicitamente reconhece hallucinations como limitação
Alucinação interpretativa.</t>
  </si>
  <si>
    <t>**Rationale (CoT):** "Objectives and scope are stated in the Abstract and Introduction; the paper positions AI to streamline literature reviews while noting reliability concerns for LLMs. Sections on current methods and emerging methods catalog traditional tools</t>
  </si>
  <si>
    <t>**Objectives:** Propose a framework for QA activities in OSS projects, eliciting stakeholder value propositions and deriving performance indicators. Conduct a preliminary empirical evaluation on selected Apache projects to understand how QA aspects are actually practiced.</t>
  </si>
  <si>
    <t>**Research Questions:** What QA practices typically occur in OSS projects?; How do OSS project communities perform these QA activities across the defect lifecycle?; How do QA performance indicators differ between a pure volunteer project (Tomcat) and a hybrid project (MyFaces)?</t>
  </si>
  <si>
    <t>As duas primeiras estão corretas, a terceira foi inferida analisando o texto, mas não é explicitamente citada</t>
  </si>
  <si>
    <t>**Study Type:** Multiple case study</t>
  </si>
  <si>
    <t>**Methodology:** The authors combined literature research and two expert interviews to design a QA framework centered on the defect lifecycle. They defined indicators such as defect detection frequency, collection effectiveness, closure time, and proportion of verified solutions. Using Bugzilla/SVN data for five months across five releases of Apache Tomcat and MyFaces (~500+ reported defects), they computed descriptive statistics and compared the two project types.</t>
  </si>
  <si>
    <t>**Main Findings:** Tomcat had more defect reports and a more heterogeneous reporter base, while MyFaces showed higher defect collection effectiveness, especially for higher-severity issues. Closure times varied, with many defects in Tomcat and MyFaces Tomahawk resolved quickly, but MyFaces Tobago displayed slower resolution. MyFaces subprojects achieved higher proportions of peer-verified fixes, while Tomcat often left fixes at 'resolved' rather than 'closed,' though re-open rates were low.</t>
  </si>
  <si>
    <t>**Conclusions:** Stakeholder-driven QA indicators reveal distinct QA profiles between pure and hybrid OSS projects. Community structure influences defect reporting, validity, closure speed, and peer verification, suggesting tailored monitoring can improve OSS quality processes.</t>
  </si>
  <si>
    <t>**Limitations:** Short observation window (five months); only two Apache projects analyzed; reliance on tracker/SVN logs may omit informal QA activities; descriptive results without controlled validation.</t>
  </si>
  <si>
    <t>A IA apresentou críticas metodológicas gerais como se fossem limitações admitidas pelos próprios pesquisadores.
(reliance on tracker/SVN logs may omit informal QA activities, descriptive results without controlled validation.)</t>
  </si>
  <si>
    <t>**Objectives:** The study aims to explore how quality assurance (QA) practices are conducted within open source software (OSS) projects, particularly in Apache Tomcat and Apache MyFaces. It seeks to develop a framework for OSS QA based on stakeholder value expectations and to evaluate performance indicators that can measure QA effectiveness across different OSS project types.</t>
  </si>
  <si>
    <t>**Research Questions:** What are the QA practices in a typical OSS project?; How does the project community perform such QA activities?; How can performance indicators for QA be derived from stakeholder values?; How do QA practices differ between pure volunteer and hybrid OSS projects?</t>
  </si>
  <si>
    <t xml:space="preserve">Identificou corretamente as duas únicas perguntas de pesquisa declaradas no texto. No entanto, ela fabricou duas perguntas adicionais ao converter os objetivos e as contribuições do estudo em um formato de pergunta. </t>
  </si>
  <si>
    <t>**Study Type:** Case study (empirical, comparative, mixed with qualitative interviews and quantitative defect data analysis)</t>
  </si>
  <si>
    <t>**Methodology:** The study combined literature research and two expert interviews to identify QA practices and stakeholder expectations in OSS projects. A framework of QA activities was proposed, focusing on defect lifecycle processes. Performance indicators (defect detection frequency, collection effectiveness, closure time, and proportion of verified solutions) were derived and applied to five releases of Apache Tomcat (pure volunteer) and Apache MyFaces (hybrid) using defect databases and SVN logs. Descriptive statistical analysis was performed on more than 500 reported defects.</t>
  </si>
  <si>
    <t>**Main Findings:** Tomcat exhibited a higher frequency of defect reports due to its large and heterogeneous community, whereas MyFaces demonstrated more effective defect collection with fewer invalid reports. Defect closure times varied, with Tomcat resolving many defects quickly but with higher variability, while MyFaces showed slower but more systematically reviewed resolutions. Verified solutions were more common in MyFaces, where peer review processes were stronger, whereas Tomcat relied more on rapid resolutions with fewer verified closures. Overall, project type influenced QA practices and outcomes significantly.</t>
  </si>
  <si>
    <t>**Conclusions:** Quality assurance in OSS projects is strongly shaped by community structure and project type. Hybrid projects such as MyFaces tend to enforce more formal and effective QA processes, while pure volunteer projects like Tomcat emphasize speed and responsiveness but may sacrifice systematic verification. The proposed performance indicators provide a useful means of monitoring QA effectiveness across OSS projects.</t>
  </si>
  <si>
    <t>**Limitations:** The study focused on only two Apache projects within a limited timeframe of five months. The results may not generalize across all OSS projects, and the investigation did not capture long-term effects or broader community practices. Verification of code review practices was also limited by the study period.</t>
  </si>
  <si>
    <t>**Objectives:** The study aims to explore how software quality assurance (QA) practices are performed in open source software (OSS) projects, with a focus on identifying common QA mechanisms, stakeholder expectations, and deriving performance indicators. It seeks to understand differences in QA processes across project types and provide a framework for evaluating QA effectiveness.</t>
  </si>
  <si>
    <t>**Research Questions:** What QA practices are commonly used in OSS projects?; How do project communities perform these QA activities?; How do QA processes differ between pure volunteer-based and hybrid OSS projects?; What performance indicators can be applied to measure QA effectiveness in OSS projects?</t>
  </si>
  <si>
    <t>**Study Type:** Case study</t>
  </si>
  <si>
    <t>**Methodology:** The study combined literature review and expert interviews to identify typical QA practices, stakeholder values, and potential performance indicators. A framework for QA in OSS projects was developed, emphasizing the defect life cycle (detection, verification, and solution verification). Empirical evaluation was conducted by analyzing five releases of two large Apache projects (Tomcat and MyFaces), using bug tracker and SVN log data to measure defect reporting frequency, closure time, collection effectiveness, and proportion of verified solutions.</t>
  </si>
  <si>
    <t>**Main Findings:** Tomcat, with a larger and more heterogeneous community, showed higher defect reporting activity compared to MyFaces. MyFaces, as a hybrid project, demonstrated higher defect collection effectiveness, with fewer invalid reports. Defect closure times varied, with Tomcat generally resolving defects more quickly but with greater variability, while MyFaces sometimes delayed fixes due to stricter peer review. Verified solution proportions were higher in MyFaces, indicating stronger peer review practices, while Tomcat solutions were less frequently peer-reviewed but tended to be more stable once resolved.</t>
  </si>
  <si>
    <t>**Conclusions:** QA practices in OSS projects differ according to project type, community structure, and sponsorship. Volunteer-driven projects emphasize speed and responsiveness, while hybrid projects stress structured review and verification. Performance indicators based on stakeholder values can help OSS communities monitor and improve QA processes.</t>
  </si>
  <si>
    <t>**Limitations:** The study was limited to two Apache projects over a five-month period, which constrains the generalizability of results. Some QA activities, such as long-term peer review outcomes, may not have been fully captured within the timeframe.</t>
  </si>
  <si>
    <t>**Objectives:** To explore quality assurance (QA) practices in open source software (OSS) projects and how project communities perform them; to propose a framework of QA aspects based on stakeholder values; and to evaluate QA performance indicators empirically using two Apache projects (Tomcat and MyFaces).</t>
  </si>
  <si>
    <t>**Research Questions:** What QA practices are typical in OSS projects?; How do project communities perform these QA activities?; How do QA processes differ between pure volunteer-driven and hybrid OSS projects?</t>
  </si>
  <si>
    <t>**Methodology:** The study combined a literature review and two expert interviews to identify QA practices, stakeholder expectations, and performance measures. A framework of QA aspects was proposed focusing on the bug lifecycle. Empirical evaluation applied performance indicators such as defect detection frequency, defect collection effectiveness, defect closure time, and proportion of verified solutions to five releases of two large Apache projects (Tomcat and MyFaces) using bug tracker data and descriptive statistics.</t>
  </si>
  <si>
    <t>**Main Findings:** Tomcat, as a pure volunteer project, showed higher defect detection frequency due to a larger and more heterogeneous user community. MyFaces, a hybrid project with company-supported developers, showed higher defect collection effectiveness and more thorough peer review, leading to fewer invalid reports and a higher proportion of verified solutions. Tomcat resolved defects faster on average but had less evidence of peer review. Defect closure times varied significantly across projects, with some MyFaces subprojects exhibiting longer delays due to stricter peer review processes.</t>
  </si>
  <si>
    <t>**Conclusions:** QA in OSS projects is influenced by community structure and project type. Pure projects emphasize responsiveness and defect discovery, while hybrid projects emphasize validation and thorough review. A framework of QA processes and performance indicators can help monitor OSS quality. Differences between projects highlight the need for tailored QA approaches.</t>
  </si>
  <si>
    <t>**Limitations:** Limited to two Apache projects over five months; small sample size; restricted observation period prevented capturing long-term QA cycles.</t>
  </si>
  <si>
    <t>**Objectives:** The study aims to explore software quality assurance (QA) practices within open source software (OSS) projects and to understand how communities perform QA activities. It also seeks to propose a framework of QA aspects in OSS, elicit stakeholder values, and derive performance indicators for QA assessment.</t>
  </si>
  <si>
    <t>**Methodology:** The research combined intensive literature review and two expert interviews to identify QA practices and stakeholder expectations. A framework for QA in OSS was developed, focusing on defect life cycle processes (detection, verification, solution verification). Performance indicators such as defect detection frequency, collection effectiveness, closure time, and proportion of verified solutions were derived and empirically applied to five releases of two Apache projects (Tomcat and MyFaces) using bug tracking data and descriptive statistics.</t>
  </si>
  <si>
    <t>**Main Findings:** The analysis showed that Tomcat had a larger and more heterogeneous reporter community, resulting in higher defect detection frequency, but also more invalid defect reports compared to MyFaces. MyFaces exhibited more effective defect collection and higher proportions of verified solutions, reflecting stronger peer review practices. Defect closure time varied: Tomcat often resolved defects faster, while MyFaces sometimes required longer but ensured more thorough peer review. The study revealed significant differences in QA effectiveness between pure volunteer (Tomcat) and hybrid (MyFaces) OSS projects.</t>
  </si>
  <si>
    <t>**Conclusions:** The study concluded that QA practices and performance differ substantially between OSS project types, influenced by community structure, sponsorship, and policies. The proposed framework and performance indicators can help monitor and improve QA processes in OSS projects.</t>
  </si>
  <si>
    <t>**Limitations:** The study covered only two Apache projects and a limited five-month observation period, which may not capture broader OSS practices or long-term trends.</t>
  </si>
  <si>
    <t xml:space="preserve">**Objectives:** The study aims to explore how quality assurance (QA) practices are performed in open source software (OSS) projects, particularly within Apache projects. It seeks to propose a QA framework based on stakeholder values, define performance indicators, and empirically evaluate these indicators in different project types.
</t>
  </si>
  <si>
    <t xml:space="preserve">Embora o estudo seja baseado em dois projetos apache, não é dito é especifico para projetos apache. Isso é uma impressisão </t>
  </si>
  <si>
    <t>**Research Questions:** What QA practices are commonly applied in OSS projects?; How do OSS project communities perform these QA activities?; How do QA processes differ between pure volunteer-driven and hybrid OSS projects?</t>
  </si>
  <si>
    <t>**Methodology:** The researchers combined literature review, expert interviews, and empirical case studies. They developed a QA framework focusing on defect life cycle processes (detection, verification, solution verification) and derived performance indicators based on stakeholder values. These indicators were applied to five releases of two large Apache projects (Tomcat and MyFaces) by analyzing bug tracker data, defect logs, and closure statistics.</t>
  </si>
  <si>
    <t>**Main Findings:** Tomcat, as a pure volunteer project, showed higher defect detection frequency due to its large heterogeneous user base, but also had more invalid defect reports and less peer review evidence. MyFaces, as a hybrid project, demonstrated more effective defect collection, more consistent peer review, and higher proportions of verified solutions, but generally longer defect closure times. The findings indicate that community structure, sponsorship, and project policies significantly affect QA performance.</t>
  </si>
  <si>
    <t>**Conclusions:** The study concludes that QA practices in OSS vary based on project type and community composition. Volunteer-driven projects emphasize rapid defect detection but less verification, while hybrid projects emphasize structured review and higher verification rates at the cost of slower closure times. Performance indicators derived from stakeholder values are useful tools for monitoring QA activities across OSS projects.</t>
  </si>
  <si>
    <t>**Limitations:** The study covered only two Apache projects and five months of development data, limiting the generalizability. Time constraints prevented observation of long-term QA practices. Some hypotheses could not be fully validated due to dataset limitations.</t>
  </si>
  <si>
    <t>O estudo toma uma decisão clara sobre todas as quatro hipóteses com base nos dados coletados. Em nenhum momento os autores afirmam que as limitações do conjunto de dados os impediram de validar as hipóteses.</t>
  </si>
  <si>
    <t xml:space="preserve">**Objectives:** Demonstrate that traditional software-reliability models are incomplete and argue that reliability should also depend on software complexity and test effectiveness. Propose a composite complexity measure and incorporate it into a revised failure-rate expression.
</t>
  </si>
  <si>
    <t>**Research Questions:** How should software reliability be redefined to account for software complexity and test effectiveness?; Which existing complexity metrics (LOC, Halstead, McCabe, information flow) best capture factors relevant to reliability, and how do they compare?; How can these metrics be combined into a single measure and linked to failure rate?</t>
  </si>
  <si>
    <t>Não possue research questions explicitas</t>
  </si>
  <si>
    <t>**Study Type:** Analytical methods paper</t>
  </si>
  <si>
    <t>**Methodology:** The authors review classic complexity metrics (LOC, Halstead, McCabe, information flow) and compute them on five programs to illustrate differences and complementarities. They normalize values, examine per-line contributions, and compare metric curves. Based on these analyses, they propose a weighted composite complexity measure using user-chosen weights and derive a revised failure-rate expression that includes test effectiveness and complexity.</t>
  </si>
  <si>
    <t>**Main Findings:** LOC correlates with other factors but alone is insufficient for reliability assessment; McCabe, Halstead, and information flow capture distinct sources of complexity. Per-line analyses show that programs with similar structural complexity can differ in operator/operand burden or information flow. A weighted composite complexity measure aggregating McCabe/line, Halstead/line, and IF/line better reflects overall complexity. The proposed reliability formulation links failure rate to both test effectiveness and the composite complexity, offering a more comprehensive model.</t>
  </si>
  <si>
    <t>**Conclusions:** Software reliability should be modeled as a function of complexity and test effectiveness in addition to time. A weighted, multi-metric complexity measure provides a stronger basis for linking complexity to failure rate.</t>
  </si>
  <si>
    <t>**Limitations:** Only five programs analyzed; composite metric weights are user-defined; the proposed model lacks validation with real-world failure data; statistical significance not established.</t>
  </si>
  <si>
    <t>Adiciona limitações não reconhcidas pelos autores</t>
  </si>
  <si>
    <t xml:space="preserve">## Exploration of Complexity in Software Reliability
**Objectives:** Critique the traditional reliability formulation that depends only on time and failure rate and argue for a broader definition. Propose a composite software complexity measure and a reliability model that explicitly incorporate complexity and test effectiveness.
</t>
  </si>
  <si>
    <t>adiciona detalhes como dependency on time and failure rate</t>
  </si>
  <si>
    <t xml:space="preserve">**Research Questions:** How should software reliability be redefined to include application complexity and test effectiveness; Which existing complexity metrics (LOC, Halstead, McCabe, information flow) best capture different facets of complexity and how can they be combined; How does software complexity interact with test effectiveness to influence failure rate in a revised reliability model
</t>
  </si>
  <si>
    <t>**Study Type:** Methodological/analytical modeling study with illustrative quantitative comparison</t>
  </si>
  <si>
    <t>**Methodology:** Survey classic complexity metrics (LOC, Halstead, McCabe's cyclomatic complexity, and information flow) and compute them on five programs. Normalize values and derive per-line measures to compare dimensions of complexity, then propose a weighted composite complexity score (CS) combining the metrics. Plot normalized curves and weighted results to illustrate relationships, and formulate a modified reliability/failure-rate expression that depends on CS and test effectiveness.</t>
  </si>
  <si>
    <t>**Main Findings:** LOC tends to increase in tandem with other complexity measures, indicating length is a basic driver of complexity, but each metric captures different aspects. Per-line analyses show that programs with similar loop/decision structure can still differ substantially in operator/operand or information-flow complexity, motivating a composite measure. A weighted CS combining McCabe, Halstead, and information-flow per-line values offers a more comprehensive representation of software complexity than any single metric. The paper links this CS and test effectiveness to a revised failure-rate term for use in reliability assessment.</t>
  </si>
  <si>
    <t>**Conclusions:** Software reliability should be modeled as a function of application complexity and test effectiveness rather than time and failure rate alone. A composite complexity measure can better guide testing and reliability evaluation, though additional refinement and validation are needed.</t>
  </si>
  <si>
    <t>**Limitations:** The demonstration uses only five programs and does not validate the composite complexity score against observed failure data; metric weights are user-defined and may be subjective; the proposed reliability formulation remains theoretical without empirical calibration.</t>
  </si>
  <si>
    <t>**Rationale (CoT):** "The abstract and introduction explicitly argue that timing and failure rate alone are incomplete and call for including complexity and test effectiveness; the body reviews LOC</t>
  </si>
  <si>
    <t xml:space="preserve">**Objectives:** Redefine software reliability beyond time and failure rate by explicitly incorporating software complexity and test effectiveness. Propose a composite complexity measure and tie it to a revised failure-rate formulation.
</t>
  </si>
  <si>
    <t>**Research Questions:** How can software reliability be redefined to account for application complexity and test effectiveness; Which combination of existing metrics provides a more complete representation of software complexity; How should failure rate be expressed as a function of test effectiveness and software complexity</t>
  </si>
  <si>
    <t>**Study Type:** Analytical method-development with an illustrative quantitative example</t>
  </si>
  <si>
    <t>**Methodology:** Reviews classical metrics—LOC, Halstead, McCabe, and information flow—highlighting their individual limitations. Computes these metrics for five programs, normalizes values, and derives per-line factors to compare contributions. Proposes a weighted aggregate complexity index combining per-line McCabe, Halstead, and information-flow terms (equal weights in the example). Links reliability to complexity and test effectiveness via a new failure-rate expression.</t>
  </si>
  <si>
    <t>**Main Findings:** LOC grows with other metrics but alone lacks fidelity for reliability assessment; per-line McCabe, Halstead, and information-flow factors capture distinct human-impact dimensions on development/testing. A weighted sum of these per-line factors yields a more comprehensive complexity index than any single metric. Reliability modeling should integrate test effectiveness (e.g., via fault injection) and complexity, producing a more realistic failure-rate term. Tables and normalized plots illustrate divergence among metrics and motivate weighting choices.</t>
  </si>
  <si>
    <t>**Conclusions:** Reliability assessment should incorporate both a composite complexity measure and test effectiveness rather than relying solely on time/failure rate. The proposed framework offers a more complete basis for modeling but requires further refinement and validation.</t>
  </si>
  <si>
    <t>**Limitations:** Empirical validation is limited to five programs with illustrative normalization. Metric weights and the functional form linking complexity to failure rate are user-defined/unspecified, and operational/environmental factors are acknowledged but not modeled.</t>
  </si>
  <si>
    <t>**Rationale (CoT):** "The abstract and introduction argue that timing/failure-rate-only models are incomplete and call for including complexity and test effectiveness. Section 1 catalogs LOC</t>
  </si>
  <si>
    <t xml:space="preserve">**Objectives:** Reframe software reliability to account for application complexity, test effectiveness, and operating environment rather than only time and failure rate. Propose a composite complexity measure and a revised reliability formulation that incorporate these factors.
</t>
  </si>
  <si>
    <t>adiciona detalhes como dependency on time and failure rate and operation environment</t>
  </si>
  <si>
    <t>**Research Questions:** How should software reliability be redefined to include complexity and test effectiveness; How can complexity be more accurately measured by integrating LOC, Halstead, McCabe, and information-flow metrics; In what way should failure rate be connected to complexity and test effectiveness</t>
  </si>
  <si>
    <t>**Study Type:** Methodological paper with illustrative quantitative analysis</t>
  </si>
  <si>
    <t>**Methodology:** The paper surveys classic complexity metrics (LOC, Halstead, McCabe/cyclomatic complexity, and information flow) and computes them for five programs, normalizing results for comparison. It argues LOC is an elementary driver while other measures capture structural and informational difficulty, then derives per-line versions (e.g., McCabe/line) to compare programs. A weighted composite complexity CS is defined as a linear combination of per-line McCabe, Halstead, and IF values with user-set weights. Finally, it proposes a new failure-rate expression that blends test effectiveness and a function of the composite complexity.</t>
  </si>
  <si>
    <t>**Main Findings:** Normalized curves show that as program size (LOC) increases, other complexity factors generally increase, indicating LOC's elementary role. Per-line analyses reveal that McCabe, Halstead, and IF capture different facets that may burden programmers/testers differently, so no single metric suffices. A weighted composite of these per-line metrics offers a more complete representation of software complexity. The proposed reliability formulation links failure behavior to both test effectiveness and application complexity, yielding a more comprehensive view than time-and-rate models alone.</t>
  </si>
  <si>
    <t>**Conclusions:** Software reliability assessment should explicitly incorporate complexity and test effectiveness. The composite complexity metric and the revised failure-rate formulation provide a more realistic basis for evaluating reliability, though further refinement is needed.</t>
  </si>
  <si>
    <t>**Limitations:** Not explicitly stated; the illustration uses only five programs, relies on user-chosen weights, and leaves the functional form linking complexity to failure rate unspecified and unvalidated.</t>
  </si>
  <si>
    <t>**Rationale (CoT):** "The abstract and introduction argue the traditional R(t) model is incomplete and motivate adding complexity and test effectiveness; the paper then details LOC</t>
  </si>
  <si>
    <t xml:space="preserve">**Objectives:** Critique traditional reliability models that consider only time and failure rate and argue for a more complete formulation. Propose a composite software complexity measure that integrates structural, lexical, and information-flow factors. Link complexity and test effectiveness to a revised expression of failure rate to better reflect real reliability.
</t>
  </si>
  <si>
    <t>adiciona detalhes como dependency on time and failure rate and operation environment etc</t>
  </si>
  <si>
    <t>**Research Questions:** How can software complexity be measured more completely to reflect its impact on software reliability?; How should reliability models incorporate software complexity and test effectiveness beyond timing and raw failure rate?; What individual and combined roles do LOC, Halstead, McCabe, and information-flow metrics play in representing software complexity?</t>
  </si>
  <si>
    <t>**Study Type:** Quantitative methodological paper (analytical proposal with illustrative example)</t>
  </si>
  <si>
    <t>**Methodology:** Review four classic complexity metrics—LOC, Halstead, McCabe cyclomatic complexity, and information flow (fan-in/fan-out)—and compute them for five programs. Normalize the metrics, then compute per-line values for McCabe, Halstead, and information flow to mitigate size effects. Propose a weighted composite complexity CS = wMMPV + wHHPV + wIFIFPV with weights summing to 1 (illustrated with equal weights). Introduce a revised failure-rate formulation R = efr + (1−e)*fS(CS) that ties test effectiveness e and complexity CS to reliability.</t>
  </si>
  <si>
    <t xml:space="preserve">**Main Findings:** LOC correlates with increases in other complexity measures but alone is insufficient to represent complexity; per-line measures reveal distinct contributions of structure, lexical elements, and information flow. All three factors materially affect developers and testers and thus reliability, motivating a combined metric. A weighted composite complexity measure provides a more comprehensive indicator than any single metric. A reliability expression that blends base failure rate with a complexity-driven term modulated by test effectiveness offers a more realistic view than timing-only models.
</t>
  </si>
  <si>
    <t xml:space="preserve">**Conclusions:** Software reliability should be modeled as a function of application complexity and test effectiveness, not just time and raw failure rate. A composite, weighted complexity metric and the proposed failure-rate expression together provide a more complete framework for assessing reliability. Further refinement and validation are encouraged.
</t>
  </si>
  <si>
    <t>**Limitations:** Only five programs are analyzed as an illustrative dataset; no empirical validation against observed failure data is provided. The weighting scheme and the functional form fS(CS) are user-determined/unspecified and not calibrated. External factors such as operating environment are acknowledged but not modeled experimentally.</t>
  </si>
  <si>
    <t>**Rationale (CoT):** "The abstract and introduction state that timing/failure-rate–only models are incomplete and motivate adding complexity and test effectiveness; Section 1 reviews LOC</t>
  </si>
  <si>
    <t xml:space="preserve">**Objectives:** Redefine software reliability beyond time and failure rate by incorporating software complexity and test effectiveness. Propose a more complete complexity measure that combines classic metrics and link it to a revised reliability formulation.
</t>
  </si>
  <si>
    <t>**Research Questions:** How should software reliability be redefined to include complexity and test effectiveness; Which combination of LOC, Halstead, McCabe, and information-flow metrics yields a more representative complexity measure; How does per-line normalization and weighting of these metrics better capture complexity across programs; How can failure rate be expressed as a function of test effectiveness and software complexity</t>
  </si>
  <si>
    <t>**Study Type:** Methodological/conceptual analysis with quantitative illustration (comparative metrics on five programs)</t>
  </si>
  <si>
    <t>**Methodology:** The authors review four classic complexity metrics (LOC, Halstead, McCabe's cyclomatic complexity, and information flow) and argue each alone is incomplete. They compute all four metrics for five real programs (A–E), normalize values, and also compute per-line versions to compare relative complexity. A composite complexity index is proposed: C_S = M·MPV + H·HPV + IF·IFPV with weights summing to 1 (illustrated with equal weights). They further propose a revised failure-rate expression that depends on test effectiveness and a function of the composite complexity, and discuss fault injection as a way to estimate test effectiveness.</t>
  </si>
  <si>
    <t>**Main Findings:** Individually, LOC, Halstead, McCabe, and information-flow metrics correlate with aspects of complexity but diverge across programs, showing incompleteness when used in isolation. Per-line normalization highlights how the same LOC can mask large differences in decision density, operator/operand usage, and information coupling. A weighted composite of per-line Halstead, McCabe, and information-flow measures provides a more comprehensive proxy for software complexity. Reliability modeling should incorporate both test effectiveness and this composite complexity, with the proposed failure-rate formula offering a more holistic framing than time–failure-rate models.</t>
  </si>
  <si>
    <t>**Conclusions:** Software reliability assessment benefits from modeling complexity and test effectiveness explicitly, not just time and aggregate failure rate. The proposed composite complexity metric and revised failure-rate relation offer a more realistic foundation for evaluation and can guide testing focus. The authors note future refinement and validation are needed.</t>
  </si>
  <si>
    <t>**Limitations:** Empirical validation is limited to five example programs without external datasets or statistical significance tests; weights for the composite index are user-chosen (illustrated as 1/3 each) without optimization; the functional form f_S(C_S) and practical estimation of test effectiveness are not fully specified.</t>
  </si>
  <si>
    <t>**Rationale (CoT):** "The abstract and introduction argue that time-only models are incomplete and motivate adding complexity and test effectiveness; Section 1 details LOC</t>
  </si>
  <si>
    <t xml:space="preserve">**Objectives:** The study aims to extend the Use Case Point (UCP)-based software effort estimation model for open-source freelance software development. It seeks to identify effort drivers specific to freelance OSS projects and adapt analogy-based estimation methods to improve prediction accuracy. The goal is to evaluate the viability of UCP as the main sizing factor in this context.
</t>
  </si>
  <si>
    <t xml:space="preserve">**Research Questions:** Can Use Case Points be effectively extended to estimate effort in open-source freelance software development?; Which analogy-based adaptation method provides the most accurate effort estimation for freelance OSS projects?
</t>
  </si>
  <si>
    <t>**Study Type:** Quantitative experimental study</t>
  </si>
  <si>
    <t>**Methodology:** The authors collected data from 13 OSS projects developed by 9 freelance developers across various domains. Use Case diagrams were analyzed to calculate Unadjusted Use Case Points (UUCP), combined with factors such as programming language, developer experience, and application domain. The data was tested using the ANGEL analogy-based SEE model with four adaptation strategies (closest analogy, mean, median, and inverse rank weighted mean). Performance was validated using n-fold cross-validation with MMRE as the accuracy metric.</t>
  </si>
  <si>
    <t>**Main Findings:** Among the four analogy adaptation methods tested, the Inverse Rank Weighted Mean (IRWM) provided the best accuracy with an MMRE of 0.23131, outperforming closest analogy (0.2602), mean (0.25073), and median (0.25002). This shows that UCP combined with analogy-based methods can reliably estimate freelance OSS project efforts. Results demonstrated that similarity of historical project data is critical to estimation accuracy.</t>
  </si>
  <si>
    <t>destacou corretamente o desempenho do IRWM e a importância da similaridade, mas omitiu a identificação explícita dos effort drivers (UUCP, experiência, linguagem, domínio).</t>
  </si>
  <si>
    <t>**Conclusions:** The study concludes that extending UCP-based estimation with the ANGEL analogy model is feasible for freelance OSS projects. The IRWM method offers the most accurate predictions, highlighting the potential of UCP as the primary effort driver in this domain.</t>
  </si>
  <si>
    <t>Está alinhado, mas faltou mencionar explicitamente a dependência da similaridade de projetos anteriores, que é central na conclusão.</t>
  </si>
  <si>
    <t>**Limitations:** The study used a small dataset of 13 projects from Sri Lankan freelance developers; results may not generalize to broader contexts. Inefficiencies in use case diagrams could introduce errors in UCP calculations. The model's performance depends heavily on the similarity of available historical data.</t>
  </si>
  <si>
    <t>inventou limitações (“pequeno dataset” e “Sri Lanka”) que não estão listadas pelos autores. Acertou apenas a parte dos diagramas, mas errou o foco do artigo.
Alucinação factual</t>
  </si>
  <si>
    <t>**Rationale (CoT):** "The abstract and introduction clearly state the purpose of extending UCP-based estimation to freelance OSS projects</t>
  </si>
  <si>
    <t xml:space="preserve">**Objectives:** Extend analogy-based software effort estimation to open-source freelance development using Use Case Points (UCP) as the main size driver; evaluate adaptation strategies to improve accuracy; identify additional relevant effort drivers such as developer experience, programming language, and application domain.
</t>
  </si>
  <si>
    <t xml:space="preserve">**Research Questions:** Is UCP (specifically UUCP) a viable primary effort driver for open-source freelance projects?; Which analogy adaptation method yields the lowest error?; How do developer experience, programming language, and application domain influence estimation accuracy?
</t>
  </si>
  <si>
    <t>**Study Type:** Quantitative empirical study</t>
  </si>
  <si>
    <t>**Methodology:** Collected 13 projects from 9 freelance developers across domains; computed UUCP from use case diagrams while omitting TCF/ECF for the freelance context; included developer experience, programming language, and application domain as drivers; standardized variables and applied Euclidean distance with fixed K (1–3) to select analogies; tested closest analogy, mean, median, and inverse rank weighted mean; validated with n-fold cross-validation and measured accuracy using MMRE.</t>
  </si>
  <si>
    <t>**Main Findings:** Inverse Rank Weighted Mean with K=3 achieved the lowest MMRE (0.23131), outperforming other adaptation rules. UUCP proved to be an effective size metric for freelance OSS projects when combined with analogy-based estimation. Additional effort drivers improved similarity matching, and results highlighted that estimation accuracy depends on project similarity and quality of use case diagrams.</t>
  </si>
  <si>
    <t>Captou bem IRWM, UUCP e a importância da similaridade, mas acrescentou que “quality of use case diagrams” e “drivers adicionais melhoraram”, o que não está explicitamente nos achados, mas sim em limitações ou contexto.</t>
  </si>
  <si>
    <t>**Conclusions:** The extended analogy-based approach using UUCP and freelancer-relevant drivers is feasible for OSS freelance effort estimation. IRWM is the most effective adaptation strategy, and UCP can be applied early in development to support practical estimation for freelancers.</t>
  </si>
  <si>
    <t>Correto em destacar viabilidade e IRWM, mas não menciona explicitamente a dependência da similaridade de projetos passados, além de incluir a aplicação “early in development”, não citada pelos autores.</t>
  </si>
  <si>
    <t>**Limitations:** Small dataset (13 projects from 9 freelancers) limits generalizability; reliance on potentially imperfect use case diagrams may introduce noise; omission of TCF/ECF and use of a single distance metric may overlook other contextual factors.</t>
  </si>
  <si>
    <t xml:space="preserve">inventa limitações como “small dataset” e “métrica única de distância”, que não estão no artigo. Só acerta a parte dos diagramas, mas erra o restante.
Alucinação factual
</t>
  </si>
  <si>
    <t xml:space="preserve">**Objectives:** The study aims to extend the Use Case Point (UCP)-based software effort estimation model to better suit open source freelance software development. It seeks to identify effort drivers relevant to freelance OSS projects, integrate them into an analogy-based model, and evaluate the accuracy of effort predictions using real freelance project data.
</t>
  </si>
  <si>
    <t>**Research Questions:** Can UCP be effectively used as the main effort driver for OSS freelance software development?; What effort drivers are most relevant for freelance OSS projects?; How does extending an analogy-based SEE model (ANGEL) improve estimation accuracy for OSS freelance projects?; Which analogy adaptation method yields the most accurate predictions?</t>
  </si>
  <si>
    <t>**Study Type:** Quantitative empirical study with model extension and validation</t>
  </si>
  <si>
    <t>**Methodology:** The study reviewed literature to identify effort drivers for freelance OSS projects, then collected data on 13 OSS projects from 9 freelance developers in Sri Lanka across domains like business applications, embedded systems, and scientific applications. Use Case Point counts were calculated from project diagrams, with unadjusted UCP (UUCP) as the main sizing factor. Additional effort drivers included developer experience, programming language, and domain. An analogy-based model (extended ANGEL) was applied with four adaptation methods (closest analogy, mean, median, inverse rank weighted mean), and accuracy was tested using n-fold cross-validation with MMRE as the evaluation metric.</t>
  </si>
  <si>
    <t>**Main Findings:** The study found that UCP, combined with effort drivers, provides a viable basis for estimating effort in freelance OSS projects. Among the four analogy adaptation methods, the Inverse Rank Weighted Mean (IRWM) performed best with the lowest MMRE value (0.23131), indicating higher prediction accuracy compared to closest, mean, and median analogy methods. The results confirmed that extending ANGEL with UCP as the sizing factor improves estimation accuracy and offers a suitable approach for freelance developers lacking access to traditional tools.</t>
  </si>
  <si>
    <t>Captou IRWM e UCP corretamente, mas acrescentou achado interpretativo (“oferece alternativa a quem não tem ferramentas proprietárias”), que não está nos resultados.</t>
  </si>
  <si>
    <t>**Conclusions:** The extended UCP-based analogy model is effective for estimating effort in OSS freelance software development, with IRWM adaptation providing the most accurate results. This approach supports freelancers in producing more reliable effort estimates, enabling them to better manage time and resources while competing for projects.</t>
  </si>
  <si>
    <t>Correto sobre viabilidade e IRWM, mas faltou a ênfase na dependência da similaridade histórica e incluiu interpretação prática (“gerenciar tempo e recursos”).</t>
  </si>
  <si>
    <t>**Limitations:** The study was limited to 13 projects from a small sample of freelance developers in Sri Lanka, which restricts generalizability. Potential inaccuracies in use case diagrams may have affected UCP calculations. The model was validated with a small dataset and may require further testing on larger, more diverse datasets.</t>
  </si>
  <si>
    <t xml:space="preserve">cita limitações de dataset e generalização não apontadas pelos autores; acerta apenas os problemas de diagramas, mas omite as restrições técnicas do ANGEL.
Alucinação factual
</t>
  </si>
  <si>
    <t>**Rationale (CoT):** "The title and objectives were taken directly from the abstract and introduction</t>
  </si>
  <si>
    <t xml:space="preserve">**Objectives:** To develop a software effort estimation model tailored for open-source freelance software development. The study extends the Use Case Point (UCP) method and integrates it with an analogy-based estimation model (ANGEL) to improve prediction accuracy for freelance projects. It also identifies the most relevant effort drivers specific to freelance open-source contexts.
</t>
  </si>
  <si>
    <t>**Research Questions:** Can Use Case Points be effectively used as the main effort driver for open-source freelance software development; Which effort drivers (developer experience, programming language, application domain) significantly impact effort estimation in this context; Which analogy adaptation method yields the most accurate predictions for freelance open-source projects</t>
  </si>
  <si>
    <t>**Study Type:** Quantitative empirical study with methodological extension</t>
  </si>
  <si>
    <t>**Methodology:** The study collected details of 13 open-source projects from 9 freelance developers across multiple domains. Use case diagrams were used to calculate Unadjusted Use Case Points (UUCP) for each project, while developer experience, programming language, and domain were included as effort drivers. The ANGEL analogy-based estimation model was extended and applied using four analogy adaptation methods (Closest, Mean, Median, Inverse Rank Weighted Mean). Data were standardized, similarity was measured using Euclidean distance, and n-fold cross-validation with MMRE was used to validate estimation accuracy.</t>
  </si>
  <si>
    <t>**Main Findings:** The study showed that UUCP, developer experience, programming language, and application domain are key effort drivers for freelance open-source projects. Among the analogy adaptation methods tested, the Inverse Rank Weighted Mean (IRWM) yielded the lowest MMRE (0.23131), outperforming Closest Analogy, Mean, and Median methods. The results demonstrate that extending the ANGEL model with UCP as the sizing factor improves estimation accuracy compared to traditional approaches.</t>
  </si>
  <si>
    <t>**Conclusions:** The research validates the viability of using Use Case Points as the primary effort driver for freelance open-source projects. Extending the ANGEL model with UCP and incorporating freelance-specific effort drivers provides more accurate predictions, with IRWM adaptation offering the best performance.</t>
  </si>
  <si>
    <t>A resposta está correta no geral, mas omitiu o ponto da dependência da similaridade de projetos passados, que é central nas conclusões.</t>
  </si>
  <si>
    <t>**Limitations:** The dataset was small (13 projects from 9 freelancers), which may limit generalizability. Errors in use case diagrams could affect UUCP accuracy. The model was only validated with a limited sample size and specific domains.</t>
  </si>
  <si>
    <t>cita limitações de dataset e generalização que não aparecem no artigo. Só acertou a parte de erros nos diagramas, mas ignorou as limitações técnicas do ANGEL.</t>
  </si>
  <si>
    <t>**Rationale (CoT):** "The abstract and methodology describe the aim of extending UCP-based estimation for open-source freelance projects and testing it with ANGEL. Section III details the methodology: collection of 13 projects</t>
  </si>
  <si>
    <t xml:space="preserve">**Objectives:** The study aims to extend the Use Case Point (UCP)-based software effort estimation model to fit the context of open-source freelance software development. It seeks to identify relevant effort drivers for freelancers and test whether UCP can serve as a viable software sizing measure in this environment. The objective is to improve estimation accuracy by adapting analogy-based models with freelance-specific factors.
</t>
  </si>
  <si>
    <t>**Research Questions:** Can Use Case Points be effectively applied as the main effort driver for open-source freelance software development?; What effort drivers are most relevant to freelance OSS projects?; How does extending the ANGEL analogy-based SEE model perform in estimating freelance project effort?</t>
  </si>
  <si>
    <t>**Methodology:** The study collected data from 13 open-source projects developed by 9 freelance developers across multiple domains. Use case diagrams were analyzed to compute Unadjusted Use Case Points (UUCP). Additional effort drivers included developer experience, programming language, and application domain. An analogy-based estimation model (ANGEL) was extended, and four analogy adaptation methods (closest analogy, mean, median, inverse rank weighted mean) were tested. Accuracy was evaluated using n-fold cross-validation and MMRE as the main metric.</t>
  </si>
  <si>
    <t>**Main Findings:** The study showed that UCP, combined with effort drivers such as developer experience and project domain, can be used to estimate freelance OSS project effort. Among the tested analogy adaptation methods, the Inverse Rank Weighted Mean (IRWM) achieved the lowest MMRE of 0.23131, outperforming closest analogy, mean, and median approaches. This indicates that IRWM provides more accurate predictions when adapted to freelance OSS projects. The research confirmed that extending the ANGEL model with UCP is a viable approach.</t>
  </si>
  <si>
    <t>**Conclusions:** Use Case Points, integrated into an extended ANGEL analogy-based model, provide a reliable method for estimating freelance OSS project effort. The IRWM adaptation method performed best, suggesting it is the most suitable for improving estimation accuracy in freelance contexts.</t>
  </si>
  <si>
    <t>Correto sobre UCP e IRWM, mas faltou a dependência da similaridade com projetos anteriores, que é essencial nas conclusões.</t>
  </si>
  <si>
    <t>**Limitations:** The study relied on a small dataset of 13 projects from Sri Lankan freelancers; results may not generalize globally. Some inefficiencies in use case diagrams could have affected UCP calculations. The accuracy of analogy-based methods also depends heavily on the similarity and quality of available historical data.</t>
  </si>
  <si>
    <t xml:space="preserve">inventa limitações ligadas a dataset e generalização global que não aparecem no artigo. Acertou apenas o ponto dos diagramas, mas omitiu as limitações técnicas do ANGEL
Alucinação factual
</t>
  </si>
  <si>
    <t>**Rationale (CoT):** "The abstract and introduction specify the objective of extending UCP-based estimation to freelance OSS development</t>
  </si>
  <si>
    <t xml:space="preserve">**Objectives:** The study aims to extend the Use Case Point (UCP)-based software effort estimation model specifically for open-source freelance software development. It seeks to identify effort drivers relevant to freelancers, incorporate them into an analogy-based estimation model, and evaluate its performance compared to existing approaches.
</t>
  </si>
  <si>
    <t>**Research Questions:** How can Use Case Points be effectively applied to estimate effort in open-source freelance software development?; Which effort drivers are most relevant for freelance OSS projects?; Which analogy adaptation method provides the most accurate estimation performance?</t>
  </si>
  <si>
    <t>**Methodology:** The study collected data from 13 open-source software projects developed by 9 freelance developers in Sri Lanka across multiple domains. Effort drivers such as unadjusted use case points (UUCP), programming language, application domain, and developer experience were identified. The ANGEL analogy-based estimation model was extended to include these factors. Four adaptation methods—Closest Analogy, Mean, Median, and Inverse Rank Weighted Mean (IRWM)—were applied. Accuracy was validated using n-fold cross-validation and measured through MMRE.</t>
  </si>
  <si>
    <t>**Main Findings:** The results showed that the IRWM method achieved the lowest MMRE (0.23131), outperforming other analogy adaptation methods. UUCP, developer experience, programming language, and domain significantly influenced estimation accuracy. The extended ANGEL model demonstrated viability in estimating effort for OSS freelance projects, with IRWM adaptation yielding more reliable predictions compared to closest analogy, mean, and median methods.</t>
  </si>
  <si>
    <t>**Conclusions:** The study concludes that Use Case Points combined with analogy-based estimation is suitable for open-source freelance software projects. Among adaptation methods, IRWM provides the most accurate predictions. This approach extends existing effort estimation models to the freelance OSS context and highlights the importance of selecting appropriate effort drivers.</t>
  </si>
  <si>
    <t>Está correto quanto à viabilidade e IRWM, mas não incluiu a dependência da similaridade com projetos passados, essencial nas conclusões.</t>
  </si>
  <si>
    <t>**Limitations:** The dataset was limited to 13 projects from 9 developers in Sri Lanka, which may affect generalizability. Some inefficiencies in use case diagrams may have influenced UCP calculations. The ANGEL model itself has limitations regarding handling out-of-range values and multiple exact matches.</t>
  </si>
  <si>
    <t>**Rationale (CoT):** The objectives and research questions were derived from the abstract and introduction, where the authors emphasized the lack of models for OSS freelancing and their goal of extending UCP. The study type and methodology were inferred from the description of data collection (13 projects, 9 freelancers) and use of cross-validation with MMRE as a performance measure. Main findings came from the results section showing IRWM with MMRE = 0.23131 as most accurate. Conclusions summarized the extended model's effectiveness. Limitations were identified in the dataset scope and noted model weaknesses. Together, these sections provide a structured mapping to the requested JSON fields.</t>
  </si>
  <si>
    <t xml:space="preserve">**Objectives:** The study aims to extend the Use Case Point (UCP)-based software effort estimation method for open-source freelance software development. It seeks to identify effort drivers specific to freelancers and evaluate the viability of UCP as the main effort driver for effort estimation in this context.
</t>
  </si>
  <si>
    <t>**Research Questions:** Can Use Case Points be effectively extended as a software effort estimation model for open-source freelance software development?; What effort drivers are most relevant for freelance OSS projects?; Which analogy-based adaptation method provides the most accurate estimation?</t>
  </si>
  <si>
    <t>**Methodology:** The authors collected 13 open-source software projects from 9 freelance developers in Sri Lanka across different domains and programming languages. They calculated Unadjusted Use Case Points (UUCP) from use case diagrams, identified effort drivers such as programming language and developer experience, and standardized data. They applied analogy-based estimation methods (closest analogy, mean, median, and inverse rank weighted mean) using the ANGEL model framework and validated the results through n-fold cross-validation with MMRE as the performance metric.</t>
  </si>
  <si>
    <t>**Main Findings:** The study found that UUCP, developer experience, programming language, and application domain are the key effort drivers for freelance OSS projects. Among the four analogy adaptation methods tested, the Inverse Rank Weighted Mean (IRWM) achieved the lowest MMRE (0.23131), indicating superior accuracy compared to closest analogy, mean, and median methods. The results confirm that extending UCP with analogy-based estimation can improve prediction accuracy in freelance OSS contexts.</t>
  </si>
  <si>
    <t>**Conclusions:** Use Case Points can be effectively applied as the primary effort driver for OSS freelance projects when combined with analogy-based estimation models like ANGEL. The IRWM method provides the best accuracy among tested approaches, making it a viable extension for software effort estimation in this setting.</t>
  </si>
  <si>
    <t>**Limitations:** The study was based on a small dataset of 13 projects from 9 freelance developers in Sri Lanka; results may not generalize across larger or more diverse contexts. Inefficiencies in use case diagrams may also have affected accuracy. Some environmental and technical complexity factors were omitted as irrelevant.</t>
  </si>
  <si>
    <t>inventa limitações (dataset pequeno, generalização, fatores de complexidade) que não estão no artigo, acertando apenas parcialmente os diagramas.
Alucinação factual</t>
  </si>
  <si>
    <t xml:space="preserve">**Rationale (CoT):** "The abstract and introduction explicitly state the objective of extending UCP-based effort estimation for open-source freelance development </t>
  </si>
  <si>
    <t>**Objectives:** The paper aims to analyze the organizational and operational practices that make open source projects successful. It also seeks to demonstrate the educational value of exposing students to real-world open source collaboration and provide strategies for integrating such projects into curricula. The objective is both descriptive and prescriptive: to document how open source communities function and to argue why and how students should be introduced to them.</t>
  </si>
  <si>
    <t>O artigo não tenta promover estratégias, como ele mesmo diz, ele está levantando perguntas e não dando respostas</t>
  </si>
  <si>
    <t>**Research Questions:** What organizational and operational practices contribute to the success of open source projects?; How can open source projects be used effectively in educational settings to benefit students?; Why is participation in open source communities valuable for student learning and professional development?</t>
  </si>
  <si>
    <t>Realizou uma inferência, não está errado, mas o artigo não apresenta perguntas de pesquisa explicitas oq fez a ia realizar essa infrência, provavelmente isso seria corrigido com uma mudança na engenharia de prompt</t>
  </si>
  <si>
    <t>**Study Type:** Qualitative descriptive and conceptual study</t>
  </si>
  <si>
    <t>Em nenhum momento o artigo oferece insumos para assumirmos que se trata de um estudo qualitativo</t>
  </si>
  <si>
    <t>**Methodology:** The authors conducted a descriptive review of successful open source projects, analyzing community structures, collaboration mechanisms, and governance models. They also examined case-based examples of integrating open source into academic courses and drew on qualitative insights from project experiences. The study synthesizes lessons from existing literature and project documentation rather than collecting new quantitative data.</t>
  </si>
  <si>
    <t>Não é baseado em casos reais</t>
  </si>
  <si>
    <t>**Main Findings:** Successful open source projects are characterized by transparent governance, distributed collaboration, and meritocratic decision-making. They leverage modular architectures and strong community norms to sustain growth. For education, introducing students to open source fosters technical competence, teamwork, and exposure to professional practices beyond classroom settings. Open source participation provides students with real-world coding experience, builds professional networks, and enhances employability.</t>
  </si>
  <si>
    <t>Ela inventa "descobertas" sobre educação que o artigo nunca apresenta</t>
  </si>
  <si>
    <t>**Conclusions:** The study concludes that open source projects thrive on community-driven practices and should be leveraged in education to prepare students for real-world software development. By engaging students in these communities, educators can enrich curricula with practical, collaborative, and socially relevant experiences.</t>
  </si>
  <si>
    <t>Paráfrase imprecisa e excessivamente interpretativa que falha em capturar a declaração final e o foco da conclusão do artigo.</t>
  </si>
  <si>
    <t>**Objectives:** Explore the defining characteristics of successful open source projects and discuss the benefits and challenges of incorporating open source practices into higher education. Provide insights into why open source projects succeed, how they are governed, and how students can gain real-world experience through participation.</t>
  </si>
  <si>
    <t>**Research Questions:** What makes open source projects successful; How do governance, modularity, and option value contribute to project sustainability; How can open source projects be effectively introduced into the classroom; What challenges arise when integrating students into collaborative, community-driven development environments</t>
  </si>
  <si>
    <t>**Study Type:** Conceptual/tutorial paper with literature discussion</t>
  </si>
  <si>
    <t>**Methodology:** The paper synthesizes perspectives from existing literature and the author's industry experience. It references economic and organizational theories (e.g., Bessen, Baldwin &amp; Clark) to explain success factors like complexity, modularity, and option value. It draws on Karl Fogel's book on project governance to outline best practices in infrastructure, volunteer management, and IP considerations. The discussion section frames key open questions for classroom integration without empirical data collection.</t>
  </si>
  <si>
    <t>**Main Findings:** Open source success is linked to complexity (making collaborative development efficient), modularity (lowering entry barriers), and option value (allowing flexible innovation). Governance models and best practices have matured, providing effective frameworks for managing volunteers and infrastructure. Introducing students to open source provides valuable hands-on experience but raises questions around grading, project ownership, continuity, and intellectual property. Universities remain underrepresented in active participation despite clear benefits.</t>
  </si>
  <si>
    <t>**Conclusions:** Open source is a powerful and sustainable development model that can enrich software education. Integrating it into classrooms is challenging but offers significant educational and societal rewards. Institutions have an opportunity to help shape the next generation of open source contributors while addressing real-world software problems.</t>
  </si>
  <si>
    <t>**Objectives:** The paper aims to explore the defining characteristics of successful open source projects, examining why and how they succeed. It also seeks to evaluate the potential and challenges of integrating open source methodologies into educational settings, offering students practical experience while benefiting institutions and industry.</t>
  </si>
  <si>
    <t>**Research Questions:** What makes open source projects successful and sustainable?; How can open source principles be effectively introduced into the classroom?; What benefits and challenges do students and institutions face when participating in open source projects?</t>
  </si>
  <si>
    <t>**Study Type:** Conceptual/tutorial paper</t>
  </si>
  <si>
    <t>**Methodology:** The work is based on literature analysis, industry experience, and discussion of selected academic studies (e.g., by Bessen, Baldwin, and Clark). It reviews theoretical and practical foundations of open source success, governance models, and case examples from industry and academia. The classroom integration section is framed as a set of open questions to stimulate discussion rather than presenting empirical data.</t>
  </si>
  <si>
    <t>não fornece um único exemplo concreto de um projeto, curso ou universidade para ser analisado como um "exemplo de caso".</t>
  </si>
  <si>
    <t>**Main Findings:** Open source project success is linked to economic incentives, modular architectures, and governance models that encourage participation. Modularity and option value reduce barriers and enable innovation. Industry increasingly values open source experience for hiring, as shown by initiatives like Google's Summer of Code and Red Hat's recruitment from Fedora contributors. Integrating open source into classrooms offers students real-world experience, but institutions face challenges regarding grading, project continuity, and intellectual property concerns.</t>
  </si>
  <si>
    <t>**Conclusions:** Open source has become central to the software industry and offers transformative potential for education. Despite practical challenges, universities should adopt open source participation as a core part of their curricula to prepare students and contribute to solving broader software challenges.</t>
  </si>
  <si>
    <t>**Limitations:** Not explicitly stated; however, the paper does not present original empirical research or systematic evaluation, relying instead on literature, case examples, and conceptual discussion.</t>
  </si>
  <si>
    <t>Está correto sobre dizer que não são explocitamente citados, depois dá uma opnião própria</t>
  </si>
  <si>
    <t>**Objectives:** To explore the defining characteristics that make open source projects successful and to examine the rationale, benefits, and challenges of introducing students to open source development in academic settings. The study also aims to identify how open source practices can enhance both industry and educational outcomes.</t>
  </si>
  <si>
    <t>**Research Questions:** What factors explain the success of open source projects; How do governance, modularity, and option value affect open source participation and sustainability; Should open source practices be introduced in classrooms, and if so, how; What are the potential benefits and challenges of student engagement in open source projects</t>
  </si>
  <si>
    <t>**Study Type:** Conceptual and analytical tutorial-style review</t>
  </si>
  <si>
    <t>**Methodology:** The paper synthesizes insights from industry experience, academic studies, and key literature (e.g., Bessen's economic analysis, Baldwin and Clark on modularity, Fogel's governance overview). It draws on examples from major corporations (Google, Red Hat, Sun) and initiatives like Google Summer of Code to illustrate how open source projects function and succeed. It further frames classroom integration as an open discussion with practical and theoretical considerations.</t>
  </si>
  <si>
    <t>**Main Findings:** Open source projects succeed when they incorporate modular architectures and allow flexibility (option value), which reduce barriers for new contributors. Governance practices and community structures are critical to project sustainability. Industry increasingly values open source experience, making it an important career pathway for students. Introducing open source in education faces questions around grading, project management, and intellectual property, but offers opportunities for experiential learning and solving real-world problems.</t>
  </si>
  <si>
    <t>**Conclusions:** Open source has become a mainstream force in industry, and educational institutions should embrace it to prepare students for professional success. While challenges exist, the rewards for students and institutions can be significant, making integration worthwhile.</t>
  </si>
  <si>
    <t>**Objectives:** The paper aims to explore the defining characteristics of successful open source projects and to discuss whether, how, and why open source methodologies should be introduced in academic environments. It seeks to demonstrate the educational and professional benefits of integrating students into open source development.</t>
  </si>
  <si>
    <t>**Research Questions:** What makes open source projects successful?; How can students be effectively introduced to open source projects?; What are the challenges and benefits of integrating open source into the classroom?</t>
  </si>
  <si>
    <t>**Methodology:** The study synthesizes prior research, industry practices, and influential works such as those by Bessen, Clark, Baldwin, and Fogel. It presents a tutorial-style exploration of open source characteristics, governance, and educational integration, relying on literature review and reflective industry experience rather than empirical experimentation.</t>
  </si>
  <si>
    <t>**Main Findings:** Successful open source projects are characterized by modularity and tolerance for uncertainty, which lower entry barriers and foster innovation. Governance models have evolved organically, with best practices captured in works like 'Producing Open Source Software.' Educational integration raises key issues such as grading, project continuity, intellectual property, and balancing coding with non-coding contributions. Despite challenges, student participation in open source offers significant opportunities for practical learning and career advancement.</t>
  </si>
  <si>
    <t>**Conclusions:** Open source integration into education, while complex, holds tremendous promise for both students and institutions. The model provides students with real-world experience and fosters innovation, while institutions contribute to the broader software ecosystem. Universities should position themselves as leaders in this ongoing open source revolution.</t>
  </si>
  <si>
    <t>**Objectives:** To explore the defining characteristics of successful open source projects and to evaluate whether, how, and why open source projects should be introduced into educational settings. The study also seeks to identify opportunities and challenges for integrating students into real-world open source development.</t>
  </si>
  <si>
    <t>**Research Questions:** What makes open source projects successful and sustainable; How do governance, modularity, and design practices contribute to success; Should open source projects be incorporated into classroom instruction; If so, what are the most effective ways to do so</t>
  </si>
  <si>
    <t>**Study Type:** Tutorial/Conceptual analysis</t>
  </si>
  <si>
    <t>**Methodology:** The paper synthesizes existing literature and industry experience to highlight principles of successful open source projects. It references key studies on open source economics and architecture and draws on best practices outlined in seminal texts like Fogel's 'Producing Open Source Software.' It also raises practical questions for educators considering classroom integration rather than conducting empirical experiments.</t>
  </si>
  <si>
    <t>**Main Findings:** Successful open source projects thrive when modularity and flexibility in design lower barriers to participation and foster innovation. Governance models evolve organically, borrowing best practices across communities, and successful projects balance technical and social infrastructure. Open source provides students with real-world experience, but educational institutions face unresolved issues such as grading, project management continuity, and intellectual property concerns. The need for formal educational pathways to open source participation is emphasized.</t>
  </si>
  <si>
    <t>**Conclusions:** Open source integration into education holds significant promise, offering students valuable practical experience while supporting the broader software ecosystem. Despite challenges, educational institutions should position themselves as leaders in fostering participation in open source development.</t>
  </si>
  <si>
    <t xml:space="preserve">**Objectives:** The objective is to explore the defining characteristics of successful open source projects and to evaluate how and why open source practices should be introduced into educational contexts. The study aims to analyze factors that contribute to project success, such as modularity and governance, while also assessing the challenges and benefits of integrating open source into classrooms.
</t>
  </si>
  <si>
    <t>**Research Questions:** What makes open source projects successful and sustainable?; How can open source practices be effectively introduced into educational institutions?; What challenges and opportunities arise when students are integrated into open source projects?</t>
  </si>
  <si>
    <t>**Study Type:** Conceptual analysis and workshop-based tutorial</t>
  </si>
  <si>
    <t>**Methodology:** The paper synthesizes prior academic research and industry practices to highlight key success factors of open source projects. It references influential studies on economic principles, modularity, and governance models, as well as best practices from Karl Fogel's work. Additionally, it frames open-ended questions for discussion about integrating open source into the classroom rather than reporting empirical findings.</t>
  </si>
  <si>
    <t>**Main Findings:** Successful open source projects typically rely on modularity, which lowers barriers for participation, and option value, which allows innovation without destabilizing the system. Governance models and community practices are critical to sustaining participation and quality. Introducing students to open source provides unique real-world learning opportunities, but educational integration raises unresolved questions regarding grading, continuity, project management, and intellectual property concerns.</t>
  </si>
  <si>
    <t>**Conclusions:** Open source offers transformative opportunities for both industry and education, but its successful integration into classrooms requires careful navigation of structural and pedagogical challenges. Despite difficulties, institutions have strong incentives to engage, as open source projects can provide students with valuable, practical experience and foster innovation.</t>
  </si>
  <si>
    <t xml:space="preserve">**Objectives:** Synthesize current evidence on quality assurance for large language model (LLM)-generated test cases in black-box testing. Identify quality attributes, QA frameworks, and evaluation metrics, while highlighting limitations and challenges to guide future research.
</t>
  </si>
  <si>
    <t>**Study Type:** Systematic literature review</t>
  </si>
  <si>
    <t>**Methodology:** Following PRISMA guidelines, the authors searched IEEE Xplore, ACM Digital Library, Google Scholar, and SpringerLink. From 19,466 initial records, 78 studies were included after deduplication and eligibility filtering. Data were categorized according to research questions and synthesized thematically.</t>
  </si>
  <si>
    <t xml:space="preserve">adiciona banco de dados utilizados e numero de artigos </t>
  </si>
  <si>
    <t>**Main Findings:** Six key quality attributes were identified: accuracy, coverage, completeness, effectiveness, efficiency, and traceability. QA frameworks included traditional methods, AI-enhanced approaches, and hybrid human-in-the-loop systems, with hybrids often yielding better fault detection. Metrics commonly used were statement coverage, fault detection rate, execution time, and noise ratio, though lack of standardization remains a challenge. Key issues include unpredictability of LLM outputs, scalability limits, interpretability gaps, and inconsistent evaluation practices.</t>
  </si>
  <si>
    <t>**Conclusions:** LLM-generated test cases show potential for efficiency and effectiveness, especially when combined with human oversight. Standardized metrics, improved traceability, and scalable hybrid frameworks are needed for reliable adoption.</t>
  </si>
  <si>
    <t>não menciona Quality Assurance Considerations for LLM-Generated Test Cases e Quality Assurance Considerations for LLM-Generated Test Cases</t>
  </si>
  <si>
    <t>**Limitations:** Selection and publication bias due to English-only, peer-reviewed inclusion and database scope; heterogeneity of metrics and study designs reduces comparability.</t>
  </si>
  <si>
    <t xml:space="preserve">**Objectives:** Synthesize current knowledge on quality assurance of LLM-generated test cases. Identify key quality attributes, survey frameworks and metrics, and highlight limitations and challenges to guide reliable adoption.
</t>
  </si>
  <si>
    <t>**Methodology:** The review followed PRISMA guidelines with searches in IEEE Xplore, ACM DL, SpringerLink, and Google Scholar. From 19,466 initial results, screening and criteria (English, peer-reviewed, 2017–2024) reduced the sample to 78 studies. Data extraction was structured around four RQs, and thematic synthesis was applied; heterogeneity precluded quantitative meta-analysis.</t>
  </si>
  <si>
    <t>adiciona banco de dados utilizados e numero de artigos e linguagem e anos usado na filtragem</t>
  </si>
  <si>
    <t>**Main Findings:** Six recurring quality attributes were identified: accuracy, coverage, completeness, effectiveness, efficiency, and traceability. Frameworks were grouped as traditional, AI-enhanced, and hybrid, with AI-enhanced systems like TESTPILOT achieving high coverage but requiring more resources. Metrics included statement coverage, fault detection rate, execution time, and noise ratio. Reported benefits included reduced time (up to 50%) and higher coverage, while challenges included LLM unpredictability, scalability, lack of metric standardization, and weak traceability.</t>
  </si>
  <si>
    <t>**Conclusions:** LLMs can improve efficiency and breadth of test case generation, but reliable use requires standardized metrics, improved interpretability, and hybrid workflows. AI-enhanced frameworks show promise but face scalability and reliability challenges.</t>
  </si>
  <si>
    <t>não menciona The Role of Human-AI Collaboration</t>
  </si>
  <si>
    <t>**Limitations:** Evidence restricted to English, peer-reviewed sources; heterogeneous methodologies limited comparability; absence of standardized metrics hindered cross-study analysis.</t>
  </si>
  <si>
    <t xml:space="preserve">**Objectives:** To synthesize research on quality assurance for LLM-generated test cases in black-box testing; to identify key quality attributes, QA frameworks, evaluation metrics, and challenges; and to recommend improvements for standardization and human–AI collaboration.
</t>
  </si>
  <si>
    <t>**Methodology:** Following PRISMA guidelines, searches were conducted in IEEE Xplore, ACM Digital Library, Google Scholar, and SpringerLink using terms related to LLMs, QA, and testing. From 19,466 records, duplicates were removed, screening was applied, and 78 studies (2017–2024, peer-reviewed, English) were included. Data extraction followed a structured form and results were synthesized thematically.</t>
  </si>
  <si>
    <t>**Main Findings:** Six key quality attributes were identified: accuracy, coverage, completeness, effectiveness, efficiency, and traceability. QA frameworks included traditional, AI-enhanced, and hybrid approaches, with hybrids improving detection but being complex. Metrics such as statement coverage, fault-detection rate, and execution time are used but lack standardization. Challenges include unpredictability of LLM outputs, scalability and cost, limited traceability, and lack of agreed-upon metrics.</t>
  </si>
  <si>
    <t>**Conclusions:** LLM-generated test cases enhance efficiency and coverage in black-box testing but reliability is constrained by non-standard metrics and traceability issues. Standardized evaluation metrics and stronger human–AI workflows are recommended.</t>
  </si>
  <si>
    <t>**Limitations:** Selection limited to peer-reviewed, English-language studies (2017–2024); heterogeneity across studies and lack of standardized metrics hinder comparability.</t>
  </si>
  <si>
    <t xml:space="preserve">**Objectives:** Synthesize current research on quality assurance for LLM-generated test cases in black-box testing. Identify quality attributes, QA frameworks, evaluation metrics, and challenges to support standardization and human–AI collaboration.
</t>
  </si>
  <si>
    <t>**Research Questions:** What quality attributes are used to assess LLM-generated test cases; What QA frameworks are applied to evaluate them; What metrics are used to measure their quality; What limitations and challenges affect their evaluation</t>
  </si>
  <si>
    <t>na primeira pergunta nao menciona black box</t>
  </si>
  <si>
    <t>**Methodology:** Searches across IEEE Xplore, ACM DL, SpringerLink, and Google Scholar under PRISMA guidelines covered 2017–2024. Screening reduced 19,466 initial records to 78 included studies. Data were extracted systematically per research question and synthesized thematically.</t>
  </si>
  <si>
    <t>**Main Findings:** Six key quality attributes were identified: accuracy, coverage, completeness, effectiveness, efficiency, and traceability. QA frameworks group into traditional, AI-assisted, and hybrid approaches combining automation with human oversight. Common metrics include coverage measures, fault detection rate, and execution cost. LLMs can deliver high coverage and efficiency but are unpredictable, with challenges in scalability, traceability, and lack of standardized metrics.</t>
  </si>
  <si>
    <t>**Conclusions:** LLM-generated test cases hold promise when combined with human-in-the-loop QA frameworks. Standardization of metrics, improved interpretability, and stronger QA processes are needed for reliable adoption.</t>
  </si>
  <si>
    <t>**Limitations:** Selection bias due to English-only inclusion and restricted databases; heterogeneity of studies and lack of standardized metrics limit comparability; industrial validation remains limited.</t>
  </si>
  <si>
    <t xml:space="preserve">**Objectives:** To synthesize current evidence on quality assurance for LLM-generated test cases in black-box testing. Specifically, to identify critical quality attributes, survey QA frameworks and evaluation metrics, and map limitations and challenges.
</t>
  </si>
  <si>
    <t>**Methodology:** Following PRISMA guidelines, searches were conducted in IEEE Xplore, ACM Digital Library, Google Scholar, and SpringerLink using Boolean combinations of terms related to LLMs, black-box testing, QA, and metrics. From an initial 19,466 records, 16,060 unique remained after deduplication, and after staged screening 78 studies were included. Data were extracted using a structured form aligned to the research questions and synthesized thematically.</t>
  </si>
  <si>
    <t>**Main Findings:** Six recurring quality attributes emerged: accuracy, coverage, completeness, effectiveness, efficiency, and traceability. Frameworks include traditional, AI-enhanced, and hybrid approaches, with hybrid balancing automation and human oversight but adding integration complexity. Metrics such as statement coverage, fault detection rate, execution time, and noise ratio are most used, with some studies reporting high coverage and efficiency gains. Key challenges include unpredictability of LLM outputs, scalability demands, lack of standardized metrics, and weak traceability.</t>
  </si>
  <si>
    <t>**Conclusions:** LLM-assisted test generation can be effective and efficient when combined with human oversight and proper QA frameworks. Standardized evaluation metrics and improved traceability are needed, while hybrid strategies appear most practical.</t>
  </si>
  <si>
    <t>**Limitations:** Limited to English peer-reviewed sources from 2017–2024, creating possible selection bias. Diverse metrics and setups constrain comparability, and rapid LLM evolution may outpace findings.</t>
  </si>
  <si>
    <t xml:space="preserve">**Objectives:** Synthesize the state of QA for LLM-generated test cases in black-box testing by mapping core quality attributes, surveying QA frameworks and metrics, and consolidating challenges. Provide guidance for future work, including standardizing metrics and strengthening human-AI collaboration.
</t>
  </si>
  <si>
    <t>**Research Questions:** RQ1: What are the critical quality attributes used to assess test cases in black-box testing?; RQ2: What QA frameworks are currently used to assess LLM-generated test cases?; RQ3: What metrics are used to measure the quality of LLM-generated test cases?; RQ4: What are the limitations or challenges in evaluating LLM-generated test cases?</t>
  </si>
  <si>
    <t>**Study Type:** Systematic literature review (PRISMA-guided)</t>
  </si>
  <si>
    <t>**Methodology:** Following PRISMA, the authors searched IEEE Xplore, ACM Digital Library, Google Scholar, and SpringerLink with Boolean combinations of terms related to LLMs, black-box testing, QA, and evaluation metrics, yielding 19,466 records. After de-duplication, screening via inclusion/exclusion (peer-reviewed, English, 2017–2024), and eligibility checks, 78 studies were included. Data were extracted in a structured form aligned to the four RQs, synthesized thematically, and risk-of-bias was mitigated by focusing on peer-reviewed sources while noting possible language-selection bias.</t>
  </si>
  <si>
    <t xml:space="preserve">**Main Findings:** Six key quality attributes recur for black-box test-case evaluation—accuracy, coverage, completeness, effectiveness, efficiency, and traceability. 
 Frameworks fall into traditional (e.g., boundary value analysis, decision tables, state transitions), AI-enhanced (e.g., TESTPILOT, XUAT-Copilot), and hybrid approaches that mix automation with human oversight; each class has distinct benefits and constraints. 
 Reported metrics include statement coverage, fault-detection rate, execution time, and noise ratio; studies note strong coverage (e.g., up to ~93.1% statement coverage with TESTPILOT) and time savings (≈50%) but variability across contexts. 
 Major challenges include unpredictability of LLM outputs, scalability and computational cost, limited traceability/interpretability, and the lack of standardized metrics; human-in-the-loop strategies improve effectiveness.
</t>
  </si>
  <si>
    <t>**Conclusions:** LLM-generated test cases can enhance efficiency, coverage, and fault detection when combined with human oversight or hybrid QA frameworks, but reliability and traceability gaps persist. Progress hinges on standardizing evaluation metrics and improving interpretability while addressing scalability constraints.</t>
  </si>
  <si>
    <t>**Limitations:** The review restricts to peer-reviewed, English studies (2017–2024), introducing potential selection bias; heterogeneity and non-standardized metrics across included works limit comparability. Field-level constraints—LLM output unpredictability, high computational demands, and traceability issues—also temper generalizability.</t>
  </si>
  <si>
    <t>Adiciona LLM output unpredictability, high computational demands, and traceability issues</t>
  </si>
  <si>
    <t xml:space="preserve">**Rationale (CoT):** "Objectives and RQs were taken directly from the Introduction and the explicit RQ list. 
 Study type and methods come from the Methodology section describing PRISMA
</t>
  </si>
  <si>
    <t xml:space="preserve">**Objectives:** Synthesize the state of the art on quality assurance for LLM-generated test cases in black-box testing. Identify critical quality attributes, survey QA frameworks and evaluation metrics, and surface the key limitations and challenges. Provide directions for standardizing assessment and improving human-AI collaboration.
</t>
  </si>
  <si>
    <t>**Methodology:** The review follows PRISMA guidelines, searching IEEE Xplore, ACM Digital Library, Google Scholar, and SpringerLink with Boolean combinations of terms related to LLMs, black-box testing, test case generation, QA, and evaluation metrics. From an initial 19,466 records (16,060 after deduplication), staged screening and eligibility checks led to 78 included studies (2017–2024), with English-language, peer-reviewed focus on black-box testing as inclusion criteria. Data were extracted with a structured form mapped to the four RQs, risk of bias was mitigated via peer-review filtering and rigor assessment, and findings were synthesized thematically.</t>
  </si>
  <si>
    <t>**Main Findings:** Six key quality attributes recur for LLM-generated test cases: accuracy, coverage, completeness, effectiveness, efficiency, and traceability. Frameworks fall into traditional methods, AI-enhanced (e.g., TESTPILOT, XUAT-Copilot), and hybrids; AI-enhanced and hybrid approaches improve coverage and fault detection but require human oversight and significant compute. Common metrics include statement coverage, fault detection rate, execution time, and noise ratio; one study reports 93.1% statement coverage with TESTPILOT, and several show up to ~50% reduction in generation time versus manual baselines. Major challenges include unpredictable LLM behavior on edge cases, scalability and computational cost, lack of standardized metrics, and limited traceability/interpretability.</t>
  </si>
  <si>
    <t>**Conclusions:** LLM-generated test cases are promising for efficiency and coverage, especially when combined with human oversight and hybrid QA frameworks. To mature QA practice, standardized metrics and better traceability/interpretability are needed, alongside methods that scale to large systems.</t>
  </si>
  <si>
    <t>**Limitations:** English-only, peer-reviewed source selection and database scope may introduce selection/publication bias. Heterogeneous study designs and the lack of standardized metrics limit cross-study comparability. Reported efficiency/coverage gains may depend on specific settings, frameworks, and computational budgets.</t>
  </si>
  <si>
    <t>Adiciona Reported efficiency/coverage gains may depend on specific settings, frameworks, and computational budgets</t>
  </si>
  <si>
    <t>**Rationale (CoT):** "The title and study type come from the front matter; the four explicit RQs are listed verbatim. Methods detail PRISMA adherence</t>
  </si>
  <si>
    <t xml:space="preserve">**Objectives:** Present an innovative six-dimension pedagogy for a graduate advanced software engineering course aimed at producing ethical, reliable, and beautiful software. Describe how ESaaS, architecture/design principles, the 6S checklist, rapid multi-modal prototyping, and an iterative real-world project integrate, and report early outcomes and lessons to guide future enhancements.
</t>
  </si>
  <si>
    <t xml:space="preserve">**Research Questions:** How can a six-dimension pedagogy be structured to align software engineering education with the goals of ethical, reliable, and beautiful software?; What learning benefits and practical skills do students report when ESaaS, SWEBOK-grounded architecture/design, 6S, and rapid prototyping are combined with an iterative real-world project?; What lessons from course delivery inform future tuning (e.g., reuse, product design, AI, diversity, sustainability)?
</t>
  </si>
  <si>
    <t>A formulação extrapola (não há perguntas explícitas no artigo), mas mantém o sentido do gabarito.</t>
  </si>
  <si>
    <t>**Study Type:** Descriptive case study (course design and evaluation report)</t>
  </si>
  <si>
    <t>**Methodology:** The authors describe a graduate-level course organized around six dimensions: reframing goals to ethical-reliable-beautiful, engineering software as a service with microservices and reuse, teaching architecture/design per SWEBOK with cross-cutting concerns, applying the 6S checklist (Site, SOLID, SOFA, Smells, Style, Sign-off), rapid low/high-fidelity and code-based prototyping, and a semester-long incremental project with ten requirements and five checkpoints. Evidence consists of course context, exemplar projects (e.g., a national vaccine registry), and student feedback/evaluations gathered over three semesters (average 18 students) with quantitative ratings and qualitative comments.</t>
  </si>
  <si>
    <t>mistura descrição da estrutura do curso (dimensões, checkpoints, etc.) com a metodologia de coleta, o que vai além do gabarito.</t>
  </si>
  <si>
    <t>**Main Findings:** Students reported strong benefits: realignment of goals toward ethical, reliable, and beautiful outcomes; emphasis on clean, sound architectures; and a balanced blend of SWEBOK, modern microservices, and emerging research/open source. Average course evaluation was 4.4/5.0 and learning evaluation 4.6/5.0 across three semesters with ~18 students per term. Having an external sponsor acts as a multiplier for project effectiveness, and regularly updating/tailoring content increases engagement. The structured checkpoints and multi-modal prototyping supported incremental delivery of real-world, service-oriented systems.</t>
  </si>
  <si>
    <t>**Conclusions:** The six-dimension approach appears effective for bridging theory and practice while foregrounding ethics, reliability, and beauty. The authors plan to evolve the course toward more reuse, software-intensive product design, AI-aware design, inclusivity, and sustainability.</t>
  </si>
  <si>
    <t>**Limitations:** No explicit limitations section; findings are from a single program/course without a control group and rely primarily on self-reported evaluations and narrative reflections over a limited number of semesters.</t>
  </si>
  <si>
    <t>Alucinação factual. O artigo explicitamente menciona as limitações sobre sponsor e atualização, e o aluno inventa outras que não estão no texto.</t>
  </si>
  <si>
    <t>**Rationale (CoT):** "Objectives and the six dimensions are drawn from the Abstract and Sections 1–2.1–2.6; exemplar project requirements and checkpoints are in Section 2.6; experiences</t>
  </si>
  <si>
    <t xml:space="preserve">**Objectives:** Present a six-dimension pedagogical approach for a graduate software engineering course focused on ethical, reliable, and beautiful software; describe its structure and project framework; report student feedback and lessons for future refinement.
</t>
  </si>
  <si>
    <t>**Research Questions:** How can a graduate software engineering course be structured to emphasize ethical, reliable, and beautiful software?; Which practices in architecture, design, and prototyping best support these goals?; What outcomes and lessons arise from term-long projects and student evaluations?</t>
  </si>
  <si>
    <t>Parcialmente correta. Alinhado em essência, mas extrapola criando perguntas explícitas não listadas no artigo.</t>
  </si>
  <si>
    <t>**Study Type:** Experience report (pedagogical case study)</t>
  </si>
  <si>
    <t>**Methodology:** The course integrates six dimensions: goal realignment, software-as-a-service, architecture and design principles, multi-modal prototyping, iterative real-world projects, and continuous checkpoints. Evidence is drawn from program context, project examples, and student feedback. Evaluations were summarized descriptively, showing average ratings of 4.4/5.0 overall and 4.6/5.0 learning. No experimental controls were used.</t>
  </si>
  <si>
    <t>Parcialmente correta. Inclui dados corretos, mas mistura descrição da estrutura pedagógica com metodologia.</t>
  </si>
  <si>
    <t>**Main Findings:** Students responded positively to reframing goals around ethics, reliability, and beauty, and valued sound architectures and pragmatic design practices. Real-world sponsor-backed projects increased engagement and solution quality. Iterative prototyping and tailored course content maintained high relevance and enthusiasm.</t>
  </si>
  <si>
    <t>**Conclusions:** The six-dimension course design is feasible and effective, aligning theory with industry needs while embedding ethical, reliable, and aesthetic concerns. Future iterations aim to integrate reuse, product design, AI-aware methods, inclusivity, and sustainability.</t>
  </si>
  <si>
    <t>**Limitations:** Not explicitly stated; limited to a single institution, small cohorts, and self-reported evaluations, restricting generalizability.</t>
  </si>
  <si>
    <t>Alucinação factual. O artigo cita claramente limitações específicas (sponsor e atualização), que não foram mencionadas</t>
  </si>
  <si>
    <t xml:space="preserve">**Objectives:** The paper aims to present an innovative pedagogical approach for teaching advanced software engineering by emphasizing ethics, reliability, and beauty as central goals of software development. It seeks to align education with industry practices while fostering students' ability to design real-world solutions through iterative, hands-on projects.
</t>
  </si>
  <si>
    <t>**Research Questions:** How can software engineering education be restructured to emphasize ethics, reliability, and beauty in software development?; What pedagogical methods can effectively blend theory, industry practices, and real-world projects in graduate-level software engineering education?</t>
  </si>
  <si>
    <t>Parcialmente correta. Mantém a essência, mas extrapola com formulações próprias que não estão explicitamente no artigo.</t>
  </si>
  <si>
    <t>**Study Type:** Case study (pedagogical/educational intervention)</t>
  </si>
  <si>
    <t>**Methodology:** The study is based on the design and implementation of a graduate-level advanced software engineering course at the University of Maryland Baltimore County. The course integrates six dimensions: redefining goals of software engineering, engineering software as a service, applying architectural and design principles, multi-modal prototyping, and a semester-long real-world project. Data was collected from course evaluations, student feedback, and performance outcomes over several semesters, averaging 18 students per term.</t>
  </si>
  <si>
    <t>Parcialmente correta. Inclui informações verdadeiras, mas mistura descrição da organização do curso (dimensões, implementação) com a metodologia de coleta, o que não está no gabarito.</t>
  </si>
  <si>
    <t>**Main Findings:** Students reported strong benefits from the course's emphasis on ethics, reliability, and beauty in software. Feedback highlighted appreciation for the integration of sound architecture, design principles, and iterative real-world projects. Students valued the blending of IEEE SWEBOK concepts, microservice architectures, and emerging software engineering approaches. Positive course evaluations (4.4/5.0 overall, 4.6/5.0 on learning outcomes) demonstrated effectiveness. The approach helped students develop practical problem-solving skills, appreciation of ethical design, and the ability to build reliable and user-trusted systems.</t>
  </si>
  <si>
    <t>Parcialmente correta. Está alinhado em quase tudo, mas omite o papel do sponsor e a necessidade de atualização contínua, que são centrais nos achados.</t>
  </si>
  <si>
    <t>**Conclusions:** The pedagogical approach effectively realigned software engineering education toward broader ethical and design-focused goals while maintaining industry relevance. It bridged theoretical foundations with practical applications, producing positive learning outcomes and student satisfaction. The model can guide future curriculum development and may evolve further with AI integration and focus on sustainability and diverse user needs.</t>
  </si>
  <si>
    <t>**Limitations:** Limited to one institution and a relatively small sample size across three semesters; evaluation is based mainly on student feedback and course outcomes rather than long-term career impact.</t>
  </si>
  <si>
    <t>Alucinação factual. a IA inventa limitações não citadas pelos autores, ignorando as que realmente foram mencionadas.</t>
  </si>
  <si>
    <t>**Rationale (CoT):** "The objectives and research questions were derived from the abstract and introduction emphasizing reimagining software engineering education around ethics</t>
  </si>
  <si>
    <t xml:space="preserve">**Objectives:** Present an innovative graduate-level pedagogy structured around six dimensions that realigns software engineering education toward producing ethical, reliable, and beautiful software. Describe how the approach integrates service-oriented thinking, proven architecture/design principles, multi-modal prototyping, and an iterative real-world term project, and report the resulting student feedback.
</t>
  </si>
  <si>
    <t>**Research Questions:** How can a six-dimension pedagogy be designed to center ethics, reliability, and beauty in software engineering education?; What outcomes and lessons emerge when engineering software as a service, applying sound architecture/design principles, using rapid multi-modal prototyping, and running an iterative, sponsor-backed term project?; How do students evaluate and reflect on this course design across multiple semesters?</t>
  </si>
  <si>
    <t>Parcialmente correta. As questões refletem bem o espírito do artigo, mas não existem na forma explícita apresentada.</t>
  </si>
  <si>
    <t>**Study Type:** Case study (experience report)</t>
  </si>
  <si>
    <t xml:space="preserve">**Methodology:** The authors implemented a six-dimension course design (ethics/reliability/beauty; ESaaS; architecture principles; design and the 6S; rapid multi-modal prototyping; iterative term project) in a professional master's program over several semesters. Around 18 students per semester participated, with evidence from course evaluations and written feedback. Practices included real-world projects (e.g., vaccine registry), iterative checkpoints, and external sponsors. Evaluation used summary statistics and qualitative reflections.
</t>
  </si>
  <si>
    <t>**Main Findings:** Students responded positively, noting the emphasis on ethics, reliability, and beauty, clean architectures, and the integration of SWEBOK with modern microservices and open-source practices. Evaluation scores averaged 4.4/5.0 overall and 4.6/5.0 for learning. Lessons included that active sponsors enhance projects and that frequent content updates sustain engagement. The course framing and iterative project structure encouraged practical problem-solving and focus on user trust.</t>
  </si>
  <si>
    <t>**Conclusions:** The six-dimension pedagogy offers a promising model for aligning software engineering education with ethical, reliable, and aesthetically mindful practice. Future work includes expanding reuse, product design, AI integration, diverse user considerations, and sustainability, alongside further data collection for validation.</t>
  </si>
  <si>
    <t>**Limitations:** Not explicitly stated; based on a single program with small cohorts and reliant on student evaluations and reflections without controlled comparison or standardized measures.</t>
  </si>
  <si>
    <t>Alucinação factual. O artigo cita explicitamente duas limitações, que não foram mencionadas</t>
  </si>
  <si>
    <t xml:space="preserve">**Objectives:** To present and implement a six-dimension pedagogical approach for a graduate advanced software engineering course that reorients goals toward producing ethical, reliable, and beautiful software. To blend SWEBOK guidance, modern architectures, and multi-modal prototyping within a term-long real-world project, and to gauge its reception and effectiveness via student feedback and course outcomes.
</t>
  </si>
  <si>
    <t>**Research Questions:** How can software engineering education be reimagined so that software is conceived, designed, and managed to be ethical, reliable, and beautiful?; What curricular dimensions and practices effectively operationalize this vision in a graduate course?; What are students' perceived outcomes and course evaluation results after adopting this approach?</t>
  </si>
  <si>
    <t>Parcialmente correta. Preserva a essência, mas inventa formulações explícitas não presentes no artigo.</t>
  </si>
  <si>
    <t>**Study Type:** Case study (experience report with qualitative evidence and descriptive quantitative survey metrics)</t>
  </si>
  <si>
    <t>**Methodology:** The authors redesigned an advanced SE course around six dimensions including ethical/reliable/beautiful goals, engineering software as a service, proven architecture and design principles, rapid prototyping, and an iterative term-long real-world project. Implementation occurred over three semesters in a professional master's program with average enrollment of 18 students. Data consisted of course evaluations and written feedback; analysis synthesized themes and outcomes descriptively.</t>
  </si>
  <si>
    <t>**Main Findings:** Student reception was strongly positive; evaluations averaged 4.4/5.0 overall and 4.6/5.0 for learning. Reported gains included a focus on ethical, reliable, and beautiful software, coherent architectures, and blending SWEBOK with modern practices. External sponsors improved project impact and regular updates increased engagement. The approach was effective across diverse student profiles.</t>
  </si>
  <si>
    <t>**Conclusions:** A six-dimension, practice-centric course design that centers ethics, reliability, and beauty is feasible and well-received, supporting industry-aligned skill development. Planned extensions include reuse, AI-aware design, inclusivity, and sustainability.</t>
  </si>
  <si>
    <t>**Limitations:** Not explicitly stated; implicitly limited to a single institution/course over three semesters with small cohorts and reliance on self-reported evaluations.</t>
  </si>
  <si>
    <t>Alucinação factual. Ignora as limitações citadas no artigo e adiciona outras que não aparecem no texto.</t>
  </si>
  <si>
    <t xml:space="preserve">**Objectives:** The paper presents an innovative pedagogical approach to teaching graduate-level software engineering that emphasizes ethical, reliable, and beautiful software. It aims to realign software engineering education goals by integrating service-oriented design, architectural and design principles, rapid prototyping, and real-world projects. The objective is to provide students with holistic, practice-driven experiences that connect ethics, reliability, and aesthetics with sound engineering practices.
</t>
  </si>
  <si>
    <t>**Research Questions:** How can software engineering education be restructured to emphasize the creation of ethical, reliable, and beautiful software?; What pedagogical dimensions and practices best support this transformation in graduate-level education?; How do students perceive and benefit from such an approach in terms of skills, ethics, and real-world preparedness?</t>
  </si>
  <si>
    <t>Parcialmente correta. Está coerente, mas extrapola criando questões não explicitadas no artigo.</t>
  </si>
  <si>
    <t>**Methodology:** The approach was implemented in a graduate-level advanced software engineering course structured around six dimensions: redefining educational goals, engineering software as a service, applying architectural principles, employing design principles, rapid multi-modal prototyping, and a semester-long real-world project. Data were gathered from course design, student participation, projects, and feedback across multiple semesters. Student feedback, evaluations, and project outcomes were used to assess effectiveness, supplemented by lessons learned from course delivery.</t>
  </si>
  <si>
    <t>Parcialmente correta. Usa elementos corretos, mas amplia com “project outcomes” e descrição da implementação como parte da metodologia.</t>
  </si>
  <si>
    <t>**Main Findings:** Students responded positively to the reimagined course, citing significant benefits from the focus on ethical, reliable, and beautiful software. The integration of modern practices such as SaaS, microservices, SOLID/SOFA principles, and prototyping helped bridge theory with practice. Real-world projects with sponsors provided meaningful learning experiences, improved engagement, and highlighted the importance of ethics, reliability, and user trust. The course also succeeded in balancing foundational principles (IEEE SWEBOK) with emerging practices, making it relevant to diverse student backgrounds.</t>
  </si>
  <si>
    <t>**Conclusions:** The course design effectively realigned software engineering education with modern industry and societal needs by emphasizing ethics, reliability, and beauty in software. Students gained practical, real-world skills while internalizing ethical and aesthetic principles. The approach demonstrates that software engineering education can and should evolve to prepare students for complex, software-intensive products and socially responsible development.</t>
  </si>
  <si>
    <t>Parcialmente correta. Embora correta no geral, não cita explicitamente os planos futuros (AI, reuso, sustentabilidade, diversidade) mencionados no artigo.</t>
  </si>
  <si>
    <t>**Limitations:** Not explicitly stated; however, challenges include difficulty in securing external sponsors, variability in tailoring content each semester, and the need for continuous adaptation to emerging technologies such as AI.</t>
  </si>
  <si>
    <t>Alucinação factual. Mistura limitações corretas com uma que não está no texto.</t>
  </si>
  <si>
    <t>**Rationale (CoT):** "The abstract and introduction highlight the six-dimension pedagogical framework and its focus on ethics</t>
  </si>
  <si>
    <t xml:space="preserve">**Objectives:** Present an innovative graduate-level pedagogical approach structured in six dimensions that realigns software engineering education around building ethical, reliable, and beautiful software. Describe the course structure (ESaaS, architecture/design/6S, rapid multimodal prototyping, iterative real-world project) and report student feedback and lessons learned.
</t>
  </si>
  <si>
    <t>**Research Questions:** How does a six-dimension framework centered on ethics, reliability, and beauty shape software engineering education and practice in a graduate course; What outcomes and student perceptions emerge from implementing this approach (evaluations, written feedback, lessons learned); What improvements are most needed for subsequent iterations (e.g., reuse, product design, AI, diverse users, sustainability)</t>
  </si>
  <si>
    <t>Parcialmente correta. Coerente, mas extrapola criando perguntas não listadas no artigo</t>
  </si>
  <si>
    <t>**Study Type:** case-study (educational experience report with qualitative feedback and descriptive quantitative evaluation)</t>
  </si>
  <si>
    <t>**Methodology:** The authors describe the design and delivery of an advanced software engineering course organized into six dimensions, including ESaaS, architecture/design principles (SWEBOK), the 6S checklist, rapid prototyping, and an iterative term project with defined checkpoints. Evidence consists of course evaluations and student written feedback collected over multiple offerings; reported descriptive statistics include average enrollment (~18 per semester) and mean evaluation scores (4.4/5.0 course; 4.6/5.0 learning). Additional qualitative observations summarize student types, sponsor involvement, and the need for semesterly content updates. Analysis is narrative and descriptive; no control group or inferential statistics are reported.</t>
  </si>
  <si>
    <t>Parcialmente correta. Apesar de correto, mistura metodologia com descrição da implementação e inclui detalhes (sem grupo controle, ausência de inferência estatística) que não estão no artigo.</t>
  </si>
  <si>
    <t>**Main Findings:** Students responded very positively, emphasizing the reframed goal of producing ethical, reliable, and beautiful software; the focus on clean, cohesive architectures and sound design; and the blending of SWEBOK with microservices and emerging research/open source. Average evaluation scores were high (course 4.4/5.0; learning 4.6/5.0) with ~18 students per offering. Lessons learned include that real sponsors substantially improve project effectiveness, and continuously updating/tailoring content increases engagement. Reflections by different student profiles suggest the approach strengthens practical problem-solving skills and highlights reliability as foundational to user trust.</t>
  </si>
  <si>
    <t>**Conclusions:** The six-dimension approach is feasible and well-received, effectively bridging theory and practice while centering ethics, reliability, and beauty. The authors plan to evolve the course further (reuse, software-intensive product design, AI considerations, diverse users, sustainability) and collect additional data for a follow-on publication.</t>
  </si>
  <si>
    <t>**Limitations:** Not explicitly stated; however, evidence is limited to a single institution/course with self-reported evaluations and narrative reflections, without a control group or rigorous outcome measures. Generalizability and causal claims are therefore limited.</t>
  </si>
  <si>
    <t>Alucinação factual. Ignora as limitações declaradas no artigo e inventa outras.</t>
  </si>
  <si>
    <t>**Rationale (CoT):** "Objectives and the six dimensions are drawn from the Abstract and Sections 1–2 (reimagining goals; ESaaS; architecture/design; 6S; prototyping; iterative project). Findings and numbers (average enrollment and 4.4/5.0</t>
  </si>
  <si>
    <t>**Objectives:** Propose a comprehensive method to evaluate software quality and reliability by modeling software as a complex network. Combine macro-level structural assessment, module-level reliability risk, and defect-risk prediction to produce an overall reliability evaluation.</t>
  </si>
  <si>
    <t>**Research Questions:** How can complex network measures of modularity, hierarchy, complexity, and fault propagation be used to assess a software system's structural reliability?; How can the importance and reliability risks of modules be quantified and aggregated to estimate overall reliability risk?; Can machine-learning on historical defect information identify high defect-risk modules in the current version to improve reliability evaluation?</t>
  </si>
  <si>
    <t xml:space="preserve">Embora as perguntas formuladas pela IA sejam lógicas e reflitam com precisão o conteúdo do artigo, não existem no documento original.
</t>
  </si>
  <si>
    <t>**Study Type:** Methodological paper (quantitative metrics and machine-learning–based framework)</t>
  </si>
  <si>
    <t>**Methodology:** The software is abstracted as a network whose nodes are modules and edges are inter-module relationships. Complex-network parameters quantify modularity, hierarchy, complexity, and fault propagation, with thresholds benchmarked against open-source systems of the same type. Important modules are identified by combining global and local network importance; their risks are assessed via code/interface complexity and change rate. Historical defect data are analyzed with multiple machine-learning models to predict high defect-risk modules in the current version, with the best predictor selected. The three components are integrated to yield an overall reliability level.</t>
  </si>
  <si>
    <t>**Main Findings:** The framework supports multi-perspective reliability assessment: structural quality highlights macro robustness, module importance pinpoints critical weak points, and defect prediction prioritizes modules likely to fail. Using thresholds from mature open-source software enables relative structural appraisal. Ranking modules and quantifying their risks provide actionable guidance. Employing multiple machine-learning methods improves defect-risk identification, though quantitative performance metrics are not reported.</t>
  </si>
  <si>
    <t>**Conclusions:** Integrating complex-network analysis, module risk evaluation, and defect-risk prediction provides a practical and holistic approach to software reliability assessment. The method identifies weaknesses that guide targeted quality improvements.</t>
  </si>
  <si>
    <t>A IA generaliza e sintetiza as informações do artigo em vez de se ater estritamente ao que é afirmado na seção de conclusão. Além disso, introduz um adjetivo ("practical") que não é mencionado no texto.</t>
  </si>
  <si>
    <t>**Limitations:** Not explicitly stated; likely limitations include no empirical validation on benchmark datasets, reliance on chosen thresholds and weights for structural metrics, and dependence on the availability and quality of defect data.</t>
  </si>
  <si>
    <t xml:space="preserve">Correto, e depois dá uma opnião própria </t>
  </si>
  <si>
    <t>**Objectives:** Propose a method to evaluate software reliability by modeling software as a complex network and combining structural quality, module-level reliability risk, and defect risk prediction, reducing dependence on traditional failure-time testing.</t>
  </si>
  <si>
    <t>**Research Questions:** How can software reliability be evaluated by abstracting software into a network and measuring structural quality; How can important modules be identified and their reliability risks quantified; How can historical defect information with machine learning predict high-defect-risk modules; How can these perspectives be combined for overall reliability assessment</t>
  </si>
  <si>
    <t>**Study Type:** Methodological proposal</t>
  </si>
  <si>
    <t>**Methodology:** Software is abstracted into a complex network and structural quality is evaluated using modularity, hierarchy, complexity, and fault-propagation metrics compared with reference systems. Important modules are identified using global and local indicators along with change rate and complexity. Historical defect data are used to train machine-learning models to predict high-defect-risk modules. The three perspectives are integrated to provide a comprehensive reliability assessment.</t>
  </si>
  <si>
    <t>**Main Findings:** Structural network properties reflect software quality and can be benchmarked against well-structured systems. Ranking modules by combined indicators highlights key components with higher reliability risks. Defect prediction using historical data identifies modules likely to fail. Integrating structural analysis, module importance, and defect prediction yields a multi-angle reliability evaluation that informs targeted quality improvement.</t>
  </si>
  <si>
    <t>**Conclusions:** The proposed network-based multi-perspective evaluation provides an effective alternative to failure-time-based methods, helping prioritize testing and refactoring resources to improve software reliability.</t>
  </si>
  <si>
    <t>Falhou em extrair a conclusão real do documento e, em vez disso, construiu uma nova conclusão a partir de fragmentos e interpretações de outras seções do artigo. Isso representa uma falha crítica, pois distorce as conclusões declaradas pelos próprios autores do estudo.</t>
  </si>
  <si>
    <t>**Limitations:** Not explicitly stated; implied reliance on context-specific thresholds, metric weighting, and availability of quality defect data.</t>
  </si>
  <si>
    <t>**Objectives:** Propose a comprehensive method to evaluate software quality and reliability using complex network theory. Assess structural quality (modularity, hierarchy, complexity, fault propagation), combine module importance and reliability risk, and use historical defect data to predict high-risk modules.</t>
  </si>
  <si>
    <t>**Research Questions:** How can complex network metrics be used to evaluate the structural quality of software?; How can key modules and their reliability risks be identified and aggregated?; Can historical defect information be used to predict high-risk modules?; How can these perspectives be integrated into a single reliability evaluation?</t>
  </si>
  <si>
    <t>**Study Type:** Methodological proposal (conceptual framework with quantitative metrics)</t>
  </si>
  <si>
    <t>**Methodology:** Software is abstracted into a network where modules are nodes and relations are edges. Structural quality is quantified via modularity, hierarchy, complexity, and fault-propagation metrics with thresholds from open-source systems. Module importance and reliability risk are assessed from complexity and change rates. Historical defect data is analyzed with machine learning to identify high-risk modules, and results are integrated into a comprehensive reliability level.</t>
  </si>
  <si>
    <t>**Main Findings:** The method formalizes reliability evaluation by combining complex-network structural measures, module importance ranking, and reliability risk analysis. Historical defect features can be leveraged to predict high-risk modules. Integrating these components provides a system-level reliability assessment and helps prioritize improvements.</t>
  </si>
  <si>
    <t>**Conclusions:** Combining structural metrics, module-level risk analysis, and defect-risk prediction offers a comprehensive reliability evaluation method. The approach emphasizes structure-based reliability assessment and supports targeted quality improvement.</t>
  </si>
  <si>
    <t>**Limitations:** Not explicitly stated; depends on calibration of metric weights, thresholds, and availability of quality defect data.</t>
  </si>
  <si>
    <t>**Objectives:** Propose a comprehensive method to evaluate software reliability by modeling software as a complex network and assessing structural quality, module-level reliability risk, and defect risk. Integrate modularity, hierarchy, complexity, and fault propagation with key-module importance and machine-learning-based defect prediction.</t>
  </si>
  <si>
    <t>**Research Questions:** How can software be abstracted as a network to evaluate structural quality via modularity, hierarchy, complexity, and fault propagation; How can important modules and their reliability risks be identified by combining global/local structural features, complexity, and change rate; How can historical defect information be leveraged with machine learning to predict high-defect-risk modules and support overall reliability evaluation</t>
  </si>
  <si>
    <t>**Study Type:** Methodological proposal (conceptual/qualitative)</t>
  </si>
  <si>
    <t>A metodologia proposta no artigo é fundamentalmente quantitativa, não qualitativa.</t>
  </si>
  <si>
    <t>**Methodology:** Represent the software as a complex network with modules as nodes and relations as edges. Compute complex-network parameters to score modularity, hierarchy, complexity, and fault propagation, comparing results to thresholds from a library of well-structured open-source systems. Rank module importance using weighted global/local structural metrics and code/interface complexity, and estimate module reliability risk by combining complexity with module change rate. Use historical defect data as features/labels to train multiple machine-learning models and select the best predictor of high-risk modules.</t>
  </si>
  <si>
    <t>**Main Findings:** Network-level measures provide a macro view of structural quality and, combined with module-level importance and risk, reveal weak points that influence reliability. Considering module complexity and change rate highlights components more likely to introduce defects. Incorporating historical defect data via machine learning enables identification of high-defect-risk modules in the current version. Combining these three views yields a comprehensive scheme for reliability assessment.</t>
  </si>
  <si>
    <t>**Conclusions:** A tri-perspective evaluation—structural quality, module reliability risk, and defect risk—can more comprehensively assess software reliability and guide targeted improvements. The method offers practical directions for focusing testing and refactoring.</t>
  </si>
  <si>
    <t>Conclusão do artigo não menciona os termos "testing" ou "refactoring". A conclusão original é mais genérica. Embora "teste" e "refatoração" sejam formas de melhorar um software, a IA fez uma inferência e apresentou essas ações específicas como se fossem a conclusão declarada pelos autores.</t>
  </si>
  <si>
    <t>**Limitations:** Specific formulas, weights, and algorithms are only sketched and require calibration per software; reliance on a reference library and historical defect data may limit applicability. Empirical validation and statistical evaluation are minimal in this workshop paper.</t>
  </si>
  <si>
    <t>Não é explicitamente citado</t>
  </si>
  <si>
    <t>**Objectives:** To propose a comprehensive method for evaluating software reliability by leveraging complex network theory. The goal is to combine structural quality assessment, module-level reliability risk analysis, and defect prediction to provide a holistic evaluation of software reliability.</t>
  </si>
  <si>
    <t>**Research Questions:** How can complex network theory be applied to evaluate the structural quality of software; How can important modules and their reliability risks be identified; How can historical defect data and machine learning be used to predict high defect risk modules in the current software version</t>
  </si>
  <si>
    <t>**Study Type:** Quantitative/Methodological proposal</t>
  </si>
  <si>
    <t>**Methodology:** The study abstracts software into a network where nodes represent modules and edges represent relationships. Structural quality is evaluated using metrics such as modularity, hierarchy, complexity, and fault propagation. Module importance and reliability risks are assessed through measures of complexity, change frequency, and position in the system. Historical defect information is combined with machine learning algorithms to predict high defect risk modules in the current version. Benchmarking is performed using well-known open-source projects as reference thresholds.</t>
  </si>
  <si>
    <t>**Main Findings:** The proposed method allows for software reliability to be assessed from multiple perspectives: macro-level structural quality, micro-level module reliability risks, and defect prediction. Structural metrics reflect modularity, hierarchy, and fault propagation potential. Key modules with high complexity or frequent changes are shown to present greater risks. Machine learning applied to historical defect data improves the identification of high-risk modules in the current version, providing actionable insights for targeted quality improvement.</t>
  </si>
  <si>
    <t>**Conclusions:** The comprehensive method enhances reliability evaluation by integrating structural, modular, and defect-based perspectives. It provides both qualitative and quantitative insights into software weaknesses, enabling more effective prioritization of improvements and resource allocation.</t>
  </si>
  <si>
    <t>A conclusão do artigo menciona apenas uma avaliação qualitativa</t>
  </si>
  <si>
    <t>**Objectives:** Propose a method to evaluate software reliability by modeling software as a complex network, analyzing structural quality, identifying critical modules and their risk, and predicting defect-prone components using machine learning. Provide a multi-angle reliability assessment that integrates these perspectives.</t>
  </si>
  <si>
    <t>**Research Questions:** How can software network structural properties be used to assess reliability?; Which modules are most critical and what is their reliability risk given complexity and change history?; How can historical defect data and machine learning identify defect-prone modules?; How can these perspectives be combined for a comprehensive reliability evaluation?</t>
  </si>
  <si>
    <t>**Study Type:** Methodological proposal (quantitative evaluation framework)</t>
  </si>
  <si>
    <t>**Methodology:** The method abstracts software into a network where modules are nodes and edges are relationships. It evaluates four structural quality dimensions—modularity, hierarchy, complexity, and fault propagation—against benchmarks from mature open-source projects. It calculates module importance using global and local indicators, then assesses risk via structural complexity and change history. Finally, it uses historical defect data and multiple machine-learning models to predict high-risk modules, combining the three perspectives into a unified reliability evaluation.</t>
  </si>
  <si>
    <t>**Main Findings:** Network metrics provide macroscopic assessment of structural reliability and allow benchmarking against high-quality open-source systems. Module-level risk assessment highlights critical components by combining importance with complexity and change frequency. Historical defect analysis combined with machine learning enhances detection of likely defect-prone modules. Integrating structural quality, module risk, and predicted defect risk produces a comprehensive reliability picture that highlights weak points for improvement.</t>
  </si>
  <si>
    <t>**Conclusions:** Modeling software as a network and integrating structural metrics, module-level risk, and defect prediction offers a robust approach to evaluating and improving reliability. The framework directs attention to critical and defect-prone modules and supports relative comparisons across systems.</t>
  </si>
  <si>
    <t>"and supports relative comparisons across systems."
Embora correta em relação ao método descrito no artigo, não faz parte da conclusão.</t>
  </si>
  <si>
    <t>**Limitations:** The study lacks empirical validation or case studies, so parameter weights and effectiveness are not tested in practice. The method relies on accurate network modeling, quality historical defect data, and appropriate benchmarks, which may limit generalizability.</t>
  </si>
  <si>
    <t>**Objectives:** Propose a comprehensive method to evaluate software reliability by modeling software as a complex network and assessing structural quality via modularity, hierarchy, complexity, and fault propagation. Integrate key-module importance and reliability risk with machine-learned defect risk from historical data to rate overall reliability and identify high-risk modules.</t>
  </si>
  <si>
    <t>**Research Questions:** How can complex network representations be used to evaluate a software system's structural quality?; Which modules are most critical and what reliability risks do they pose?; Can historical defect information with machine learning identify high-defect-risk modules to support a comprehensive reliability assessment?</t>
  </si>
  <si>
    <t>**Study Type:** Methodological framework (conceptual method; no empirical evaluation reported)</t>
  </si>
  <si>
    <t>**Methodology:** First, abstract the software into a network and compute complex-network parameters to assess modularity, hierarchy, complexity, and fault propagation, using context-specific weights and reference thresholds derived from well-known open-source systems of the same type. Second, construct module-level subnetworks, rank module importance by combined global and local structural indicators, and assess module reliability risk from module complexity (structural/code/interface) and change rate. Third, collect historical defect data and apply multiple machine-learning models to predict current-version high-defect-risk modules; aggregate these with the structural and module-risk perspectives to produce an overall reliability level.</t>
  </si>
  <si>
    <t>**Main Findings:** The paper contributes a three-pronged reliability evaluation approach that merges structural quality assessment, key-module risk profiling, and defect-risk prediction to deliver a comprehensive view of software reliability and expose weak points. It emphasizes that identifying important modules and their risks, coupled with learned defect risk, can guide focused quality improvements; the paper does not report quantitative validation results.</t>
  </si>
  <si>
    <t>**Conclusions:** Combining structural quality metrics, module reliability risk, and predicted defect risk provides a holistic reliability evaluation and highlights where to improve the software. The proposed method offers actionable guidance for prioritizing maintenance and quality enhancement.</t>
  </si>
  <si>
    <t>introduz um termo específico "manutenção" que não está presente no texto original da conclusão</t>
  </si>
  <si>
    <t>**Limitations:** No empirical evaluation or quantitative results are presented; effectiveness depends on the availability and quality of historical defect data. Weighting of structural aspects and selection of reference thresholds are context-dependent, and outcomes may vary with module partitioning and chosen machine-learning models.</t>
  </si>
  <si>
    <t>**Objectives:** Develop an automated method to extend safety state diagrams and generate test cases using large language models (LLMs) to reduce reliance on tester experience and improve efficiency in safety-critical domains. Propose integration of extracted safety criteria from aviation standards with LLM-based diagram extension and genetic algorithm optimization for test case generation.</t>
  </si>
  <si>
    <t>Adiciona objetivo de reduzir reliance on tester experience</t>
  </si>
  <si>
    <t>**Research Questions:** How can LLMs be used to automatically extend safety state diagrams based on aviation safety standards?; How can genetic algorithms combined with LLM optimization improve efficiency in generating safety test cases?; To what extent does the proposed method enhance coverage, reduce execution rounds, and improve the reliability of safety testing compared to traditional approaches?</t>
  </si>
  <si>
    <t>Artigo não possue questões explicitas porém questões elaboradas pelo chatgpt podem ser consideradas corretas</t>
  </si>
  <si>
    <t>**Study Type:** Experimental methodological study</t>
  </si>
  <si>
    <t>**Methodology:** The authors extracted safety properties from DO-178C and ARP4754A standards, categorized them into four groups, and integrated them into state diagrams. They fine-tuned Qwen2-72B-Instruct using LoRA on aviation datasets to extend diagrams with safety states. They then designed test case generation using edge-first depth traversal for path coverage and genetic algorithms for test data inference. LLMs were applied to optimize hyperparameters and mutation processes within genetic algorithms. Evaluation was conducted on an aviation altitude control system, with safety diagram validation via UPPAAL and performance measured across six genetic algorithm variants.</t>
  </si>
  <si>
    <t>Adiciona documentos de safety properties utilizados e UPPAAL</t>
  </si>
  <si>
    <t>**Main Findings:** The proposed method effectively extended state diagrams with safety properties, verified by UPPAAL and manual review. Compared to classical genetic algorithms, LLM-guided approaches significantly reduced execution rounds—up to 90% reduction in maximum iterations and an average reduction of 77.32%. Individual mutation optimization using LLMs yielded the most stable and efficient performance across multiple algorithms. The approach improved coverage of test paths and generated more independent, reliable test cases.</t>
  </si>
  <si>
    <t>**Conclusions:** LLMs can successfully automate state diagram extension and optimize test case generation, reducing tester dependence and improving efficiency in safety testing. The combined framework enhances coverage, stability, and reduces execution costs, making it suitable for complex safety-critical systems.</t>
  </si>
  <si>
    <t>adiciona reduces execution costs e making it suitable for complex safety critical systems</t>
  </si>
  <si>
    <t>**Limitations:** Current safety criteria were limited to four categories with 25 sub-items; test path generation lacked context-aware transitions. Results were validated on a single aviation control system, and broader applicability needs further study.</t>
  </si>
  <si>
    <t xml:space="preserve">Adiciona que resultados foram validados em single aviation control system </t>
  </si>
  <si>
    <t>**Rationale (CoT):** "The aims and research questions are derived from the abstract and introduction describing gaps in manual safety test design. The study type is experimental since evaluations were conducted with a concrete aviation case and multiple algorithm comparisons. Methodology details come from Sections II–III (safety criteria extraction</t>
  </si>
  <si>
    <t>**Objectives:** Develop a method to improve safety testing efficiency and quality by automating state diagram extension and test case generation using large language models (LLMs). Reduce reliance on tester experience and enhance test coverage through safety property integration and LLM-optimized genetic algorithms.</t>
  </si>
  <si>
    <t>**Research Questions:** How can safety criteria from aviation standards be systematically extracted and applied to extend safety state diagrams; How can LLMs be leveraged to extend state diagrams with safety properties while ensuring reliability; How can LLMs optimize genetic algorithms for test case generation to improve efficiency and stability; What improvements in efficiency and coverage result from integrating LLM-based optimization into safety testing</t>
  </si>
  <si>
    <t>**Study Type:** Experimental study (tool/method evaluation)</t>
  </si>
  <si>
    <t>**Methodology:** Safety criteria were extracted from DO-178C and ARP 4754A and categorized into four classes. A Qwen2-72B-Instruct LLM was fine-tuned with LoRA on aviation-related datasets for state diagram extension, guided by context-rich prompts. Test paths were generated using edge-first depth traversal, and genetic algorithms were optimized with LLMs for hyperparameter tuning and individual mutation. Evaluation used an aviation altitude control system case study, validated through UPPAAL and manual checks, and compared execution rounds of classical, hyperparameter-optimized, and mutation-optimized algorithms across six GA variants.</t>
  </si>
  <si>
    <t>**Main Findings:** LLMs successfully extended state diagrams with safety states, reducing omissions and improving verification. In test case generation, LLM-guided mutation significantly outperformed both traditional and hyperparameter-only optimized GAs, reducing average execution rounds by up to ~90% and stabilizing performance across complex paths. Extended diagrams improved coverage and reliability, while optimization reduced computational overhead and manual tuning. Results showed LLMs enhance both breadth (coverage) and depth (efficiency) of safety testing.</t>
  </si>
  <si>
    <t>Adiciona reducing omissions and improving verification e reduced computational overhead</t>
  </si>
  <si>
    <t>**Conclusions:** The proposed approach effectively automates state diagram extension and test case generation, improving test coverage, reliability, and engineer efficiency in safety-critical contexts. LLMs provide powerful optimization of genetic algorithms, yielding faster and more stable results than classical methods.</t>
  </si>
  <si>
    <t>**Limitations:** Safety criteria were limited to four categories; contextual dependencies between test paths were not fully addressed; experiments were limited to one case study (altitude control system).</t>
  </si>
  <si>
    <t xml:space="preserve">**Rationale (CoT):** "Objectives and RQs were derived from Abstract and Introduction emphasizing gaps in tester-dependent methods
. Study type is experimental as it implements and tests a framework on an aviation case study
. Methodology is described in Sections II–III with details on criteria extraction
</t>
  </si>
  <si>
    <t xml:space="preserve">**Objectives:** The paper aims to improve the efficiency and quality of safety testing by automating state diagram extension and test case generation using large language models (LLMs). It seeks to reduce reliance on tester experience, ensure comprehensive safety coverage, and optimize genetic algorithms for faster and more reliable test case generation.
</t>
  </si>
  <si>
    <t>**Research Questions:** How can LLMs be used to extend safety state diagrams with minimal reliance on tester expertise?; How can test case generation be automated to improve efficiency and coverage in safety testing?; How can genetic algorithms be optimized with LLMs to reduce execution time and enhance stability in test case generation?</t>
  </si>
  <si>
    <t>**Study Type:** Experimental study</t>
  </si>
  <si>
    <t>**Methodology:** The authors extracted safety criteria from aviation standards (DO-178C and ARP 4754A) and used them to guide state diagram extension. They fine-tuned a Qwen2-72B-Instruct model with LoRA on aviation software datasets for context-aware state diagram extension. For test case generation, they combined edge-first depth traversal for path coverage with a genetic algorithm optimized by LLMs for hyperparameter tuning and mutation operations. Experiments were conducted on an aviation altitude control system, validated with UPPAAL and comparative runs against multiple genetic algorithm variants.</t>
  </si>
  <si>
    <t>**Main Findings:** The LLM-extended state diagrams successfully incorporated safety properties such as data validation, fault diagnosis, and fault handling, ensuring comprehensive coverage. Compared to traditional genetic algorithms, the LLM-optimized approach reduced execution rounds by up to 90%, improving both efficiency and stability across multiple algorithm variants. Individual mutation guided by LLMs outperformed hyperparameter tuning alone, yielding more consistent results. The approach demonstrated robustness in complex safety testing scenarios and significantly reduced tester dependency.</t>
  </si>
  <si>
    <t xml:space="preserve">Adiciona reduced tester dependency </t>
  </si>
  <si>
    <t>**Conclusions:** The proposed LLM-based method effectively enhances safety testing by automating state diagram extension and test case generation. It improves coverage, reliability, and efficiency while reducing reliance on manual tester expertise. The approach shows promise for broader application in safety-critical domains with complex systems.</t>
  </si>
  <si>
    <t>Afirma que a approach shows promise in safety critical domains</t>
  </si>
  <si>
    <t>**Limitations:** The study focused on a single case (aviation altitude control system), limiting generalizability. Safety criteria were restricted to four categories, and the test path generation did not fully account for contextual dependencies across transitions.</t>
  </si>
  <si>
    <t>**Rationale (CoT):** "The objectives and research questions were identified in the abstract and introduction</t>
  </si>
  <si>
    <t xml:space="preserve">**Objectives:** To enhance safety testing by reducing reliance on tester experience and inefficiencies in manual test case generation. The study aims to automate the extension of safety state diagrams using large language models (LLMs) and to optimize test case generation through LLM-guided genetic algorithms.
</t>
  </si>
  <si>
    <t>**Research Questions:** How can LLMs be used to extend safety state diagrams with safety properties derived from aviation standards; How can test case generation be improved by combining edge-first depth traversal with genetic algorithms optimized by LLMs; To what extent does the proposed method improve efficiency and accuracy compared to traditional approaches</t>
  </si>
  <si>
    <t>**Study Type:** Experimental study with methodological innovation</t>
  </si>
  <si>
    <t>**Methodology:** Safety criteria were extracted from aviation standards DO-178C and ARP 4754A, categorized, and applied to state diagram extensions. LLMs (fine-tuned Qwen2-72B-Instruct with LoRA) were used to automatically extend state diagrams with safety properties. An edge-first depth traversal algorithm generated test paths, while a genetic algorithm inferred test data. LLMs were integrated into hyper-parameter generation and mutation processes. Evaluation used an aviation altitude control system case study, with verification performed through UPPAAL and manual checks. Performance was assessed across six genetic algorithm variants using execution rounds and MMRE.</t>
  </si>
  <si>
    <t>**Main Findings:** The method successfully extended safety state diagrams with four categories of safety properties. LLM-optimized genetic algorithms significantly reduced the average number of execution rounds, achieving about 90% reduction compared to classical methods and about 77.32% reduction across improved algorithms. The individual mutation optimization strategy provided the most stable and efficient performance. The approach improved coverage of test paths and states, reduced dependence on human expertise, and increased reliability of test cases.</t>
  </si>
  <si>
    <t>**Conclusions:** The proposed method automates and enhances safety testing by integrating LLMs into state diagram extension and test case generation. It reduces manual effort, increases efficiency, and generates more comprehensive and reliable test cases, making it applicable to systems with diverse safety properties.</t>
  </si>
  <si>
    <t>Afirma que a approach is applicable in systems with diverse safety properties</t>
  </si>
  <si>
    <t>**Limitations:** The current safety criteria set is limited to four categories and 25 sub-items; the dataset and case studies were focused on aviation systems; context-aware path generation and broader safety domains are not yet included.</t>
  </si>
  <si>
    <t>**Rationale (CoT):** "The abstract and methodology clearly describe the aim of automating safety state diagram extension and test case generation with LLMs
. Section II details safety criteria extraction</t>
  </si>
  <si>
    <t xml:space="preserve">**Objectives:** The study aims to improve the efficiency and reliability of safety testing by leveraging large language models (LLMs) to automate the extension of safety state diagrams and optimize test case generation. It seeks to reduce reliance on tester experience, avoid omissions in safety analysis, and enhance genetic algorithm performance for test data inference.
</t>
  </si>
  <si>
    <t>**Research Questions:** How can LLMs be used to extend safety state diagrams systematically based on aviation safety standards?; Can LLMs optimize genetic algorithm parameters and mutation processes to improve efficiency in test case generation?; To what extent does this approach reduce execution rounds and improve the stability of safety testing?</t>
  </si>
  <si>
    <t>**Study Type:** Experimental study with algorithm development and evaluation</t>
  </si>
  <si>
    <t>**Methodology:** The researchers extracted safety criteria from DO-178C and ARP 4754A standards, categorized them, and used them as inputs along with state diagrams to fine-tuned LLMs (Qwen2-72B-Instruct with LoRA). The model was prompted with both context-rich and concise instructions to extend safety state diagrams. For test case generation, they combined edge-first depth traversal with genetic algorithms, where LLMs optimized hyperparameters and guided individual mutations. Evaluation was conducted on an aviation altitude control system, with performance compared across classical, improved, and LLM-optimized genetic algorithms.</t>
  </si>
  <si>
    <t>**Main Findings:** The LLM-extended state diagrams successfully integrated four categories of safety properties, verified by UPPAAL and manual validation. LLMs used for hyperparameter generation and individual mutation significantly improved genetic algorithm performance. Execution rounds were reduced by up to 90% compared to classical algorithms, with an average reduction of 77.32% across six genetic algorithm variants. The individual mutation guided by LLMs yielded the most stable and efficient results, outperforming both traditional and hyperparameter-optimized approaches.</t>
  </si>
  <si>
    <t>**Conclusions:** The proposed method effectively automates safety state diagram extension and test case generation, reducing dependency on tester expertise while improving efficiency and reliability. LLMs demonstrated strong capabilities in optimizing genetic algorithms, making the approach suitable for complex safety-critical systems. This enhances testing engineers' productivity and ensures more comprehensive coverage of safety scenarios.</t>
  </si>
  <si>
    <t xml:space="preserve">Afirma que a approach is suitable  for complex safety-critical systems. </t>
  </si>
  <si>
    <t>**Limitations:** The safety criteria used were limited to four main categories and 25 sub-items; context-aware path generation was not implemented, which may lead to incomplete execution conditions.</t>
  </si>
  <si>
    <t xml:space="preserve">**Rationale (CoT):** "The objectives and research questions were derived from the abstract and introduction
</t>
  </si>
  <si>
    <t xml:space="preserve">**Objectives:** The study aims to enhance safety testing by reducing reliance on engineers' experience through automated state diagram extension and test case generation. It introduces a method that leverages large language models (LLMs) to extract safety properties from aviation standards, extend state diagrams with safety information, and optimize genetic algorithms for efficient test case generation.
</t>
  </si>
  <si>
    <t>**Research Questions:** How can LLMs be used to extend safety state diagrams automatically to reduce omissions caused by tester inexperience; How effective is the integration of LLMs with genetic algorithms in optimizing hyper-parameters and mutation processes for test case generation; To what extent can the proposed method improve efficiency and reliability in safety-critical domains such as aviation systems</t>
  </si>
  <si>
    <t>**Study Type:** experimental (method development and evaluation on an aviation control system case study)</t>
  </si>
  <si>
    <t>**Methodology:** The authors first extracted safety criteria from aviation standards DO-178C and ARP 4754A, categorizing them into four types. They fine-tuned Qwen2-72B-Instruct using LoRA on aviation software datasets, designing context-aware prompts for combining safety criteria with state diagrams. Extended safety diagrams were validated using UPPAAL and manual review. For test case generation, edge-first depth traversal was used for path generation, while genetic algorithms optimized by LLMs (for hyper-parameter tuning and individual mutation) generated test data. Experiments were conducted on an aviation altitude control system, comparing baseline genetic algorithms with LLM-enhanced versions.</t>
  </si>
  <si>
    <t>**Main Findings:** The LLM-extended state diagrams successfully incorporated safety states such as fault diagnosis and fault handling, verified with UPPAAL for integrity and consistency. LLMs significantly improved genetic algorithm performance: execution rounds were reduced by up to ~90% compared to traditional methods and by ~77.32% on average across improved genetic algorithms, with the best results from individual mutation optimization. The approach enhanced test path coverage, stability, and comprehensiveness of test cases while reducing manual effort.</t>
  </si>
  <si>
    <t>**Conclusions:** The proposed method demonstrates that LLMs can effectively automate safety state diagram extension and optimize test case generation, improving efficiency and quality in safety testing. It reduces reliance on tester expertise, increases coverage, and provides robust safety validation. The approach is applicable to safety-critical systems with similar requirements.</t>
  </si>
  <si>
    <t>Afirma que a approach is applicable in systems with similar safety properties</t>
  </si>
  <si>
    <t>**Limitations:** The study focuses on a single case (aviation altitude control system) and limited safety criteria categories; broader validation across domains and expansion of criteria are needed. Context-aware path generation is identified as a future improvement.</t>
  </si>
  <si>
    <t>**Rationale (CoT):** "The objectives and questions are derived from the abstract and introduction</t>
  </si>
  <si>
    <t xml:space="preserve">**Objectives:** The study aims to automate the extension of safety state diagrams and the generation of test cases by leveraging large language models (LLMs). It seeks to reduce reliance on the experience of test engineers, enhance coverage of safety properties, and improve the efficiency of safety testing, particularly in aviation systems.
</t>
  </si>
  <si>
    <t>**Research Questions:** How can safety criteria from aviation standards be systematically extracted and applied to state diagrams?; How can large language models be used to extend state diagrams with safety properties?; How can LLMs improve the efficiency and stability of test case generation through optimization of genetic algorithms?</t>
  </si>
  <si>
    <t>**Methodology:** The researchers extracted safety criteria from aviation standards (DO-178C and ARP 4754A) and categorized them into four groups. They fine-tuned the Qwen2-72B-Instruct model with LoRA to extend state diagrams with safety properties. Test cases were then generated using an edge-first depth traversal combined with a genetic algorithm, where LLMs optimized hyper-parameters and guided individual mutation. The method was evaluated using an aviation altitude control system case study and validated with the UPPAAL tool and manual review.</t>
  </si>
  <si>
    <t>**Main Findings:** The LLM-extended state diagrams systematically incorporated safety states such as fault diagnosis and fault handling, ensuring more comprehensive coverage. LLMs significantly improved genetic algorithm efficiency, reducing execution rounds by up to 90% compared to classical methods. Experiments showed that individual mutation guided by LLMs achieved the most stable and efficient results, outperforming both traditional genetic algorithms and hyper-parameter tuning approaches. The proposed framework enhanced the comprehensiveness and reliability of safety test cases in complex aviation systems.</t>
  </si>
  <si>
    <t>**Conclusions:** The study concludes that integrating LLMs into state diagram extension and genetic algorithm-based test case generation reduces dependence on tester experience, improves safety coverage, and greatly enhances testing efficiency. The approach is applicable to systems with similar safety properties across safety-critical domains.</t>
  </si>
  <si>
    <t>**Limitations:** The study's safety criteria were limited to four main categories and 25 sub-items, and the test path generation method did not consider contextual dependencies between transitions. Broader safety aspects and context-aware generation remain for future work.</t>
  </si>
  <si>
    <t xml:space="preserve">**Rationale (CoT):** I derived the objectives and research questions from the abstract and introduction, where the authors highlight gaps in manual safety testing and propose LLM-driven solutions. The study type is experimental since they applied and tested their approach on an aviation system. The methodology description comes from the detailed process of extracting criteria, fine-tuning an LLM, and integrating it with genetic algorithms. The findings are based on results comparing execution rounds across different algorithms. Conclusions are drawn from the discussion and final section. Limitations are explicitly mentioned in the conclusion and future work section, focusing on the scope of safety criteria and lack of context-aware path generation.
</t>
  </si>
  <si>
    <t xml:space="preserve">**Objectives:** The study aims to propose a model for estimating maintainability of software developed in agile environments by assigning weight coefficients to critical maintainability criteria. It seeks to provide a structured method for measuring maintainability where no formal models currently exist in agile contexts.
</t>
  </si>
  <si>
    <t>**Research Questions:** How can maintainability be quantitatively assessed in agile software development processes?; Which maintainability criteria are most critical for agile projects?; How can the SWARA method be applied to assign weight coefficients to these criteria?</t>
  </si>
  <si>
    <t>**Study Type:** Quantitative modeling study</t>
  </si>
  <si>
    <t>Não é incorreto, mas o artigo classifica-se como metodológico; a IA usou uma formulação diferente que pode induzir outra interpretação.</t>
  </si>
  <si>
    <t>**Methodology:** The authors used the Step-wise Weight Assessment Ratio Analysis (SWARA), a multi-criteria decision-making (MCDM) approach, to determine weight coefficients of selected maintainability criteria. Expert opinions from industry professionals were gathered to rank four key criteria: user stories, story points, pre-defects, and post-defects. These rankings were aggregated and processed through SWARA to produce final weight coefficients summing to 1.</t>
  </si>
  <si>
    <t>Descreveu bem SWARA, mas omitiu a revisão de literatura presente no artigo.</t>
  </si>
  <si>
    <t>**Main Findings:** The analysis showed that pre-defects carry the highest weight coefficient, followed by post-defects, story points, and user stories. This suggests that defects identified before deployment are the most critical factor influencing maintainability in agile projects. The model enables calculation of an estimated maintainability value for any agile project once criteria-specific data is available.</t>
  </si>
  <si>
    <t>**Conclusions:** The study concludes that maintainability is a crucial aspect of software quality in agile development, and the proposed model provides a systematic way to estimate it. By applying SWARA, practitioners can assess the relative importance of criteria and calculate an overall maintainability score for agile projects.</t>
  </si>
  <si>
    <t>**Limitations:** The model is limited by the small set of maintainability criteria considered (only four). Additional criteria such as productivity and defect density could improve accuracy and robustness of results.</t>
  </si>
  <si>
    <t>**Rationale (CoT):** "The objectives and research questions were extracted from the abstract and introduction</t>
  </si>
  <si>
    <t xml:space="preserve">**Objectives:** The study proposes a structured model for estimating software maintainability in agile environments. It aims to identify critical maintainability criteria and determine their relative importance using the SWARA decision-making approach, enabling practitioners to calculate an overall maintainability value for agile projects.
</t>
  </si>
  <si>
    <t>**Research Questions:** How can maintainability be quantitatively assessed within the agile software development process; Which criteria best represent maintainability in agile projects; What are the relative weights of these criteria when applying the SWARA methodology</t>
  </si>
  <si>
    <t>**Study Type:** Quantitative model-building study (decision-making approach)</t>
  </si>
  <si>
    <t>**Methodology:** The authors reviewed prior maintainability assessment techniques and identified gaps in agile contexts. They then selected four criteria—user stories, story points, pre-defects, and post-defects—based on expert input. Using the Step-wise Weight Assessment Ratio Analysis (SWARA) method, they ranked these criteria with expert judgments to derive normalized weight coefficients. The approach allows the calculation of an estimated maintainability index when project values for these criteria are available.</t>
  </si>
  <si>
    <t>**Main Findings:** Pre-defects were found to have the highest weight coefficient, followed by post-defects, story points, and user stories. This ranking indicates that defect-related factors contribute more significantly to software maintainability in agile environments. The model provides a systematic way to quantify maintainability by combining weighted criteria values. Application of the method shows that overall project maintainability can be estimated early and used to guide quality improvements.</t>
  </si>
  <si>
    <t>**Conclusions:** The proposed model demonstrates that maintainability in agile projects can be quantified through weighted criteria, with defect-related measures being most influential. Using SWARA, practitioners can systematically estimate maintainability and thereby improve quality assessment in agile processes.</t>
  </si>
  <si>
    <t>**Limitations:** The model considers only four criteria, which may limit accuracy and generalizability. Broader sets of criteria such as productivity or defect density could improve robustness. The reliance on expert judgment in SWARA introduces subjectivity.</t>
  </si>
  <si>
    <t>Responde corretamente a limitação principal, mas acrescenta uma limitação não mencionada no artigo (subjetividade), o que extrapola o gabarito.</t>
  </si>
  <si>
    <t>**Rationale (CoT):** "The abstract and introduction emphasize the lack of defined models for agile quality measurement</t>
  </si>
  <si>
    <t xml:space="preserve">**Objectives:** The study aims to propose a model for estimating software maintainability in agile development by determining the weight coefficients of critical maintainability criteria. It intends to address the lack of precise models for quality measurement in agile processes and to provide a structured approach using decision-making techniques.
</t>
  </si>
  <si>
    <t>**Research Questions:** How can maintainability of agile software products be quantitatively estimated?; Which criteria are most critical for agile software maintainability and how should they be weighted?</t>
  </si>
  <si>
    <t>**Study Type:** Quantitative modeling study (decision-making approach with expert input)</t>
  </si>
  <si>
    <t>Não está errado, mas difere da classificação direta como metodológico.</t>
  </si>
  <si>
    <t xml:space="preserve">**Methodology:** The researchers employed the Step-wise Weight Assessment Ratio Analysis (SWARA) method, a multi-criteria decision-making technique, to calculate weight coefficients for maintainability criteria in agile projects. Expert opinions from software industry professionals were collected to rank and compare four criteria: user stories, story points, pre-defects, and post-defects. The ranked criteria were processed using SWARA steps to derive final weight coefficients summing to 1.
</t>
  </si>
  <si>
    <t>Cobriu bem SWARA e ranking, mas omitiu a revisão de literatura presente no artigo.</t>
  </si>
  <si>
    <t>**Main Findings:** The analysis showed that pre-defects received the highest weight, followed by post-defects, story points, and user stories. This indicates that defect-related measures are more influential for determining software maintainability in agile environments than requirement size indicators. The model enables estimation of overall maintainability value for agile projects, guiding focus toward critical quality factors.</t>
  </si>
  <si>
    <t xml:space="preserve">**Conclusions:** The proposed model provides a systematic way to estimate maintainability in agile development by quantifying the importance of key criteria. It emphasizes defect-related measures as central to maintainability and supports early estimation of maintenance efforts during development.
</t>
  </si>
  <si>
    <t>**Limitations:** The model considered only four maintainability criteria, which limits comprehensiveness. Additional criteria such as productivity and defect density could improve accuracy.</t>
  </si>
  <si>
    <t xml:space="preserve">**Rationale (CoT):** "The objectives and research questions were identified from the abstract and introduction emphasizing the absence of precise maintainability models for agile development 
. The study type was classified as quantitative modeling because it applied the SWARA decision-making approach with expert input 
. The methodology was reconstructed from the description of ranking four criteria and applying SWARA steps 
. Main findings were extracted from the results section
</t>
  </si>
  <si>
    <t xml:space="preserve">**Objectives:** To propose a model that quantifies software maintainability in agile environments by determining weight coefficients of selected criteria. The study aims to provide a structured basis for estimating software quality and guiding maintenance-related decisions using a systematic decision-making approach.
</t>
  </si>
  <si>
    <t>**Research Questions:** How can maintainability in agile software development be systematically estimated; Which criteria are most critical for assessing maintainability; How can SWARA methodology be applied to assign weights to maintainability criteria</t>
  </si>
  <si>
    <t>**Study Type:** Quantitative methodological model development</t>
  </si>
  <si>
    <t>A resposta aproxima-se do termo "metodológico", mas adiciona "quantitative model development", que extrapola a definição simples do gabarito.</t>
  </si>
  <si>
    <t>**Methodology:** The authors used a multi-criteria decision-making (MCDM) method, specifically the Step-Wise Weight Assessment Ratio Analysis (SWARA), to derive weight coefficients for maintainability criteria. Four criteria—user stories, story points, pre-defects, and post-defects—were selected based on expert opinion. Experts ranked and compared criteria, and SWARA was applied to calculate final weights. These coefficients were then used to estimate overall maintainability in agile projects.</t>
  </si>
  <si>
    <t>Cobriu o uso do SWARA e seleção de critérios, mas omitiu a revisão de literatura destacada no gabarito.</t>
  </si>
  <si>
    <t>**Main Findings:** The analysis revealed that pre-defects had the highest weight coefficient, followed by post-defects, story points, and user stories. This ranking suggests that defect-related metrics contribute more significantly to maintainability than requirement-based measures. The proposed model demonstrates that by combining these weighted criteria, it is possible to estimate maintainability values for agile software projects and better allocate maintenance efforts.</t>
  </si>
  <si>
    <t>**Conclusions:** The study concludes that software maintainability can be systematically estimated within agile environments using SWARA-based weight assignments. By focusing on key defect and requirement-related criteria, the model provides a practical approach to improving software quality assessment.</t>
  </si>
  <si>
    <t>**Limitations:** The model includes only four criteria, limiting its comprehensiveness. Additional factors such as productivity and defect density should be integrated in future research to enhance accuracy.</t>
  </si>
  <si>
    <t xml:space="preserve">**Rationale (CoT):** "The abstract and introduction stress the lack of defined models for measuring quality in agile and the need to address maintainability
. The methodology section clearly details the use of SWARA with expert input on four criteria. Results (Figure 2) show pre-defects as the dominant factor
</t>
  </si>
  <si>
    <t xml:space="preserve">**Objectives:** The study aims to develop a model for estimating the maintainability of software products developed in agile environments by determining weight coefficients for key maintainability criteria. It specifically focuses on applying the SWARA decision-making approach to calculate weights for selected criteria such as user stories, story points, pre-defects, and post-defects.
</t>
  </si>
  <si>
    <t>**Research Questions:** How can maintainability of software products developed in agile environments be quantitatively assessed?; Which maintainability criteria are most critical for agile software projects?; How can SWARA be applied to determine reliable weight coefficients for these criteria?</t>
  </si>
  <si>
    <t>**Study Type:** Quantitative modeling study using expert-based multi-criteria decision-making</t>
  </si>
  <si>
    <t>Aproxima-se do metodológico, mas adiciona detalhamento que não está no gabarito.</t>
  </si>
  <si>
    <t>**Methodology:** The authors employed the Step-wise Weight Assessment Ratio Analysis (SWARA) method, a multi-criteria decision-making approach, to assign weight coefficients to selected maintainability criteria. Four criteria—user stories, story points, pre-defects, and post-defects—were identified based on expert opinions. Experts ranked and compared the criteria, and SWARA was applied to compute the final weight coefficients, which sum to one, enabling the estimation of overall maintainability values in agile projects.</t>
  </si>
  <si>
    <t>Descreveu corretamente a aplicação do SWARA, mas omitiu a parte da revisão de literatura.</t>
  </si>
  <si>
    <t xml:space="preserve">**Main Findings:** The results showed that pre-defects received the highest weight coefficient, followed by post-defects, story points, and finally user stories. This indicates that defect-related metrics play the most significant role in determining software maintainability in agile contexts. The model demonstrated that using these weights, practitioners can estimate the overall maintainability value of a project and predict maintenance efforts more accurately.
</t>
  </si>
  <si>
    <t xml:space="preserve">**Conclusions:** The proposed SWARA-based model provides a structured approach for quantifying maintainability in agile software development. By prioritizing defect-related criteria, it highlights where teams should focus to improve long-term quality and sustainability. The model offers practical applicability for early assessment of maintainability in agile projects.
</t>
  </si>
  <si>
    <t>**Limitations:** The model considers only four criteria for maintainability assessment, limiting comprehensiveness. Additional factors such as productivity or defect density could enhance the model's accuracy. Results also depend heavily on expert judgment, which may introduce subjectivity.</t>
  </si>
  <si>
    <t>Inclui a limitação correta, mas extrapola com algo que não consta no artigo.</t>
  </si>
  <si>
    <t xml:space="preserve">**Rationale (CoT):** "The title and abstract clearly describe the objective of building a maintainability model using SWARA in agile contexts 
. Research questions were inferred from the stated purpose of identifying critical criteria and applying SWARA. The methodology section outlines the use of expert opinions and the SWARA ranking process
</t>
  </si>
  <si>
    <t xml:space="preserve">**Objectives:** Develop a model for estimating software maintainability in agile environments by determining weight coefficients for critical maintainability criteria. Apply a structured decision-making approach to quantify these weights and enable calculation of overall maintainability values.
</t>
  </si>
  <si>
    <t>**Research Questions:** How can maintainability of agile software products be quantitatively estimated?; Which criteria are most critical for determining maintainability in agile projects?; How can the SWARA method be applied to assign weight coefficients to these criteria?</t>
  </si>
  <si>
    <t>**Study Type:** Methodological proposal using multi-criteria decision-making (quantitative modeling)</t>
  </si>
  <si>
    <t>Embora reconheça a natureza metodológica, adiciona qualificações que não aparecem no gabarito.</t>
  </si>
  <si>
    <t>**Methodology:** The study adopts the Step-wise Weight Assessment Ratio Analysis (SWARA) method, a multi-criteria decision-making technique. Four maintainability criteria—user stories, story points, pre-defects, and post-defects—were selected based on expert opinions. These were ranked and weighted through SWARA's structured steps, with experts providing comparative judgments. Final weight coefficients summing to one were calculated, enabling maintainability estimation for agile projects.</t>
  </si>
  <si>
    <t>Descreveu corretamente o SWARA, mas deixou de fora a revisão que embasou a lacuna de pesquisa.</t>
  </si>
  <si>
    <t>**Main Findings:** The SWARA-based model successfully assigns weights to four key maintainability criteria. Pre-defects emerged as the most significant criterion, followed by post-defects, story points, and user stories. The resulting coefficients can be used to estimate the overall maintainability of agile software products by combining project-specific values with these weights. The method demonstrates that defect-related metrics dominate in determining maintainability in agile contexts.</t>
  </si>
  <si>
    <t>**Conclusions:** The proposed model provides a structured means to evaluate software maintainability in agile development by weighting critical criteria. Using SWARA ensures expert-driven prioritization and supports better estimation of software quality. This helps practitioners allocate resources effectively and focus on the most influential maintainability factors.</t>
  </si>
  <si>
    <t>**Limitations:** The model considers only four maintainability criteria, potentially limiting accuracy. Additional factors such as productivity and defect density could improve the model's comprehensiveness.</t>
  </si>
  <si>
    <t>**Rationale (CoT):** "The title and abstract state the model's goal of estimating maintainability through weighted criteria. Research questions were derived from the introduction and proposed model sections highlighting the need for quantification and SWARA application. The study type is methodological</t>
  </si>
  <si>
    <t xml:space="preserve">**Objectives:** The study proposes a model to evaluate software maintainability in agile development environments by determining weight coefficients of key maintainability criteria. It seeks to address the lack of precise models for quality measurement in agile practices by applying a structured multi-criteria decision-making approach.
</t>
  </si>
  <si>
    <t>**Research Questions:** How can maintainability of agile software products be quantitatively assessed; Which maintainability criteria are most critical for agile projects; How can weight coefficients be systematically determined for these criteria using SWARA</t>
  </si>
  <si>
    <t>**Study Type:** quantitative modeling with expert-based evaluation</t>
  </si>
  <si>
    <t>Reconhece o caráter quantitativo e uso de especialistas, mas não utiliza a classificação direta de metodológico.</t>
  </si>
  <si>
    <t>**Methodology:** The model employs the Step-wise Weight Assessment Ratio Analysis (SWARA) method, a multi-criteria decision-making approach. Four criteria—user stories, story points, pre-defects, and post-defects—were selected based on expert input. Experts ranked the criteria, assigned comparative importance, and the SWARA methodology was applied to calculate normalized weight coefficients that sum to 1. These coefficients can then be used to estimate overall maintainability values of agile projects.</t>
  </si>
  <si>
    <t>A parte principal do SWARA foi bem explicada, mas faltou a revisão de literatura indicada no gabarito.</t>
  </si>
  <si>
    <t>**Main Findings:** The results showed that pre-defects carry the highest weight coefficient, followed by post-defects, story points, and user stories. This indicates that defect-related metrics are more influential for estimating maintainability in agile projects. The proposed model provides a structured way to estimate maintainability early in the development lifecycle, offering practitioners a quantitative method for quality assessment.</t>
  </si>
  <si>
    <t>**Conclusions:** The study concludes that the SWARA-based model is effective for assigning weights to maintainability criteria in agile environments, allowing estimation of overall software maintainability. This supports better quality management and decision-making in agile projects.</t>
  </si>
  <si>
    <t>**Limitations:** The model is limited to four selected criteria; additional factors such as productivity or defect density could improve accuracy. Validation was restricted to expert opinion without extensive empirical testing across diverse projects.</t>
  </si>
  <si>
    <t>A primeira parte está correta, mas a adição de limitação não citada no artigo extrapola o gabarito.</t>
  </si>
  <si>
    <t>**Rationale (CoT):** "The objectives and research gap are stated in the abstract and introduction</t>
  </si>
  <si>
    <t xml:space="preserve">**Objectives:** The study aims to propose a model for estimating the maintainability of software developed in agile environments by determining weight coefficients of selected maintainability criteria. It seeks to address the lack of standardized models for quality measurement in agile development and provide a systematic way to evaluate maintainability as a key quality factor.
</t>
  </si>
  <si>
    <t>**Research Questions:** How can maintainability of agile software projects be systematically measured?; Which criteria are most critical for assessing maintainability in agile development?; How can the SWARA method be applied to determine weight coefficients of these criteria?</t>
  </si>
  <si>
    <t>**Study Type:** Methodological framework with expert-based evaluation</t>
  </si>
  <si>
    <t>Reconhece a natureza metodológica, mas adiciona qualificações extras que não constam no gabarito.</t>
  </si>
  <si>
    <t xml:space="preserve">**Methodology:** The authors used a multi-criteria decision-making (MCDM) method called Step-wise Weight Assessment Ratio Analysis (SWARA) to assign weights to maintainability criteria. Four criteria were selected based on expert opinions: user stories, story points, pre-defects, and post-defects. Experts ranked these criteria, provided comparative evaluations, and the SWARA procedure was applied to calculate final weight coefficients. The criteria with the highest weight values were identified as the most critical for estimating maintainability in agile projects.
</t>
  </si>
  <si>
    <t>Detalha bem o uso do SWARA, mas omite a revisão que identifica a lacuna da pesquisa.</t>
  </si>
  <si>
    <t>**Main Findings:** The application of the SWARA method revealed that 'pre-defects' had the highest weight coefficient, followed by 'post-defects', 'story points', and 'user stories'. This ranking indicates that defects detected before and after deployment are the most critical factors for estimating maintainability in agile software projects. The model allows calculation of an estimated maintainability value for any agile project, helping identify where maintenance efforts should be focused.</t>
  </si>
  <si>
    <t>**Conclusions:** The proposed model provides a structured method for estimating software maintainability in agile environments by weighting critical criteria. It demonstrates that using SWARA with expert input can effectively quantify maintainability, offering practical insights for quality evaluation and improvement.</t>
  </si>
  <si>
    <t>**Limitations:** The model is limited by the small set of criteria considered (only four). Additional criteria such as productivity or defect density could improve accuracy. The reliance on expert opinions also introduces subjectivity, and the model was not validated on large-scale or diverse datasets.</t>
  </si>
  <si>
    <t>Parte correta, mas extrapola com limitações não mencionadas no artigo.</t>
  </si>
  <si>
    <t>**Rationale (CoT):** "The abstract and introduction highlight the research gap: lack of defined models for quality/maintainability in agile. Section III describes the methodology</t>
  </si>
  <si>
    <t>**Objectives:** The study aims to investigate how software architecture can be integrated into requirements elicitation to enhance rapid software development. It seeks to identify tools, techniques, frameworks, and approaches that facilitate Architecture-Centric Requirement Elicitation (ACRE), while also mapping gaps between requirements engineering and architecture. Another key objective is to propose a resource bank that categorizes and synthesizes these tools and methods for practitioners and researchers.</t>
  </si>
  <si>
    <t>**Research Questions:** How are software architecture and requirements elicitation connected, and what are their tools, techniques, pros and cons, applicability, and challenges?; Is it possible to accommodate requirements in software architecture using recent frameworks and techniques?; What are the research, industrial, and academic gaps between requirements and software architecture in rapid software development?; How can ACRE bridge these gaps by balancing architecture and requirement elicitation processes?; How can requirement elicitation processes be interpreted in terms of their tools, techniques, and relativity with architecture-centric approaches?</t>
  </si>
  <si>
    <t>**Methodology:** The study followed the systematic literature review methodology outlined by Petersen et al., involving protocol development, inclusion/exclusion criteria, search strategy, and data extraction. Publications from 2009 onward in reputable sources (IEEE, Elsevier, Springer, ACM, Taylor &amp; Francis) were screened for relevance. A total of 61 tools, techniques, schemes, and patterns were selected, analyzed, and categorized based on their applicability to requirements elicitation and software architecture integration. Data synthesis included evaluation of research gaps, trends, and mapping to predefined research questions.</t>
  </si>
  <si>
    <t>a resposta da IA contém informações corretas e relevantes que não estavam presentes no gabarito</t>
  </si>
  <si>
    <t>**Main Findings:** The review identified more than 60 tools, techniques, and frameworks for integrating architecture into requirements elicitation, but most are single-objective approaches with limited ability to address multi-objective trade-offs. Pre-defining architecturally significant requirements and utilizing tools like ATAM, STREAM-AP, and ArcheR were found effective. However, gaps remain in handling business requirements, trade-offs, and scalability. A comprehensive dendrogram and taxonomical resource bank were developed to classify tools, highlight strengths and weaknesses, and map them to research questions. Results confirm that traceability, quality attributes, and systematic frameworks are essential to bridging requirements and architecture.</t>
  </si>
  <si>
    <t>A resposta da IA é superior ao gabarito porque não se limita a listar as contribuições formais do estudo. Em vez disso, ela resume os resultados analíticos e as conclusões substantivas</t>
  </si>
  <si>
    <t>**Conclusions:** The study concludes that integrating architecture into requirements elicitation is critical for rapid software development, improving traceability, quality, and design outcomes. ACRE-based approaches can bridge long-standing gaps, but existing tools are fragmented and often lack multi-objective support. The proposed resource bank provides a valuable reference for practitioners and researchers to select appropriate methods. Future work should focus on developing hybrid and multi-objective tools to better accommodate evolving requirements.</t>
  </si>
  <si>
    <t>A resposta da IA é superior ao gabarito.</t>
  </si>
  <si>
    <t>**Limitations:** The study is limited by its reliance on secondary sources and published literature, with no empirical validation of tools in real-world projects. Additionally, most tools identified are either single-objective or theoretical, limiting their practical applicability. Quantitative evaluation and large-scale industrial case studies are missing.</t>
  </si>
  <si>
    <t>A IA  analisou a metodologia do artigo e as discussões dos autores  para extrair as limitações inerentes ao trabalho realizado. As informações fornecidas pela IA não estão no gabarito, mas estão corretas e presentes no texto.</t>
  </si>
  <si>
    <t>**Objectives:** To investigate how software architecture can be effectively integrated into requirements elicitation for rapid software development; to identify tools, techniques, and frameworks supporting Architecture-Centric Requirement Elicitation (ACRE); and to highlight research gaps, challenges, and opportunities for bridging requirements and architecture.</t>
  </si>
  <si>
    <t>**Research Questions:** How are software architecture and requirements elicitation connected, and what are their tools, techniques, pros/cons, applicability, and challenges?; Can requirements be accommodated in software architecture using modern frameworks, tools, and techniques?; What research, industrial, and academic gaps exist between requirements and architecture?; How can ACRE bridge these gaps to balance architecture and elicitation processes?; How do elicitation tools, techniques, and processes relate to architecture-centric approaches?</t>
  </si>
  <si>
    <t>**Methodology:** The authors followed Petersen et al.'s guidelines for conducting SLRs. They defined a review protocol, applied inclusion/exclusion criteria, and used systematic query strings across major publishers (IEEE, Elsevier, ACM, Springer, Taylor &amp; Francis). Out of many studies, 61 papers were selected for detailed analysis. Data extraction covered title, year, concept, problem, contribution, and future work. Results were synthesized into dendrograms, comparative tables, and a resource bank categorizing tools, techniques, and frameworks.</t>
  </si>
  <si>
    <t>**Main Findings:** The study identified over 60 tools, schemes, and patterns that link software architecture with requirements elicitation. Architecture-Centric Requirement Elicitation (ACRE) improves traceability, accountability, and reduces development time. Architecturally Significant Requirements (ASRs) and models like Twin Peaks help balance functional and architectural concerns. Despite advances, gaps remain in addressing quality attributes, trade-offs, and business modeling. Most current tools are single-objective; hybrid and multi-objective tools are rare but necessary to meet modern demands.</t>
  </si>
  <si>
    <t>**Conclusions:** Integrating software architecture into requirements elicitation enhances traceability, reusability, and development speed. Architecture-centric approaches such as ACRE provide a valuable framework for bridging gaps between requirements and architecture, but further development of hybrid, multi-objective tools is needed to meet industry and academic challenges.</t>
  </si>
  <si>
    <t>**Limitations:** No quantitative/statistical evaluation of tools and frameworks; heavy reliance on qualitative synthesis. Future work is suggested to expand the resource bank and test methods empirically.</t>
  </si>
  <si>
    <t>**Objectives:** The study aims to investigate how software architecture can be effectively integrated into requirements elicitation to support rapid software development. It seeks to identify tools, techniques, and frameworks that connect requirements engineering with architecture, explore gaps between them, and propose an architecture-centric approach to bridge these gaps. Another objective is to create a resource bank of methods and tools for researchers and practitioners.</t>
  </si>
  <si>
    <t>**Research Questions:** How are software architecture and requirements elicitation connected, including tools, techniques, pros/cons, applicability, and challenges?; Can requirements be accommodated in software architecture using recent frameworks and tools?; What are the research, industrial, and academic gaps between architecture and requirements in rapid software development?; How can Architecture Centric Requirement Elicitation (ACRE) bridge the gaps between architecture and requirements?; What tools, techniques, and processes support requirements elicitation in an architecture-centric context?</t>
  </si>
  <si>
    <t>**Methodology:** The authors conducted a systematic literature review (SLR) following Petersen's protocol. They developed a review protocol, applied inclusion/exclusion criteria, and performed searches in major databases (IEEE, ACM, Elsevier, Springer, Taylor &amp; Francis). Out of the search, 61 tools, techniques, and frameworks were selected and analyzed. Data extraction included publication details, research problem, contributions, and evaluation. The selected studies were synthesized to answer the research questions and to construct a taxonomical resource bank.</t>
  </si>
  <si>
    <t>**Main Findings:** The review highlights that requirements elicitation and software architecture are deeply interconnected, and their integration improves traceability, adaptability, and rapid development. Multiple approaches such as Service-Oriented Architecture, Knowledge-Sharing Architecture, similarity computation, and multi-model approaches help align requirements and architecture. Architecturally Significant Requirements (ASRs) and tools like ATAM and ArcheR are crucial for managing this integration. A large variety of tools and frameworks exist, but most focus on single-objective solutions, while hybrid and multi-objective tools are still scarce. Key gaps remain in identifying ASRs, managing trade-offs, and bridging research and practice.</t>
  </si>
  <si>
    <t>**Conclusions:** Integrating software architecture into requirements elicitation enhances rapid software development by improving traceability, quality, and alignment between requirements and architecture. Architecture-centric approaches such as ACRE provide a systematic way to bridge gaps, and tools/frameworks can support these processes. However, more advanced, hybrid, and multi-objective tools are needed for practical adoption. The study provides a taxonomical resource bank as a reference for researchers and practitioners.</t>
  </si>
  <si>
    <t>**Limitations:** The study is limited by its reliance on secondary data from published papers, with no direct empirical validation. The selection of sources was restricted to peer-reviewed publishers, which may have excluded relevant work. Quantitative evaluation of the effectiveness of identified tools and frameworks is limited, and most findings remain theoretical rather than empirically tested.</t>
  </si>
  <si>
    <t>**Objectives:** Explore how software architecture can be systematically integrated into requirements elicitation for rapid software development. Identify tools, techniques, frameworks, and architectural elements that improve traceability, adaptability, and reusability. Highlight research gaps and propose resource models to facilitate better alignment between requirements and architecture.</t>
  </si>
  <si>
    <t>**Research Questions:** How are software architecture and requirements elicitation connected, and what tools, techniques, pros/cons, and challenges define this relationship; Can recent frameworks and methods accommodate requirements within software architecture; What research, industrial, and academic gaps exist between architecture and requirements; How can Architecture-Centric Requirement Elicitation (ACRE) bridge these gaps; What tools, techniques, and frameworks support ACRE-based elicitation</t>
  </si>
  <si>
    <t>**Study Type:** Systematic literature review (SLR)</t>
  </si>
  <si>
    <t>**Methodology:** The study followed PRISMA-like SLR protocols, developing a review protocol with defined inclusion and exclusion criteria. Searches were conducted across IEEE, Elsevier, ACM, Springer, and Taylor &amp; Francis, limited to 2009–2022. From thousands of records, 61 primary studies were selected. Data extraction captured publication details, research problems, solutions, contributions, and future work. The analysis synthesized tools, frameworks, and patterns, created dendrograms of research gaps, and constructed a taxonomical resource bank.</t>
  </si>
  <si>
    <t xml:space="preserve">O protocolo prisma não é citado em nenhum lugar do artigo </t>
  </si>
  <si>
    <t>**Main Findings:** The review identified over 60 tools, frameworks, and techniques supporting architecture-centric requirements elicitation. Service-Oriented Architecture (SOA), Knowledge-Sharing Architecture (KSA), TOGAF, similarity computations, and multi-model approaches illustrate the breadth of methods connecting requirements and architecture. Architecturally Significant Requirements (ASRs) and traceability models like ATAM and Decision Centric Traceability help integrate functional and non-functional requirements into design. Gaps remain in bridging research and practice, standardizing trade-offs, and supporting business-driven modelling. Only a small fraction of tools provide multi-objective or hybrid solutions, indicating an urgent need for advanced approaches.</t>
  </si>
  <si>
    <t>**Conclusions:** Requirements elicitation and software architecture must be treated as interdependent to support rapid and reliable software development. ACRE provides a valuable perspective to reduce gaps, enhance traceability, and improve adaptability. Tools and frameworks can guide integration, but future work must strengthen validation, multi-objective approaches, and industrial applicability.</t>
  </si>
  <si>
    <t>**Limitations:** Limited to English-language, peer-reviewed studies from select publishers; quantitative analysis is lacking, and many proposed tools remain theoretical or unvalidated in practice; scalability and generalizability of identified methods are not fully demonstrated.</t>
  </si>
  <si>
    <t>**Objectives:** The study aims to explore how software architecture can be systematically integrated into requirements elicitation to improve rapid software development. It seeks to identify connections between architecture and requirements, analyze state-of-the-art tools and techniques, highlight research gaps, and propose a taxonomy-based resource bank to support practitioners and researchers.</t>
  </si>
  <si>
    <t>**Research Questions:** How are software architecture and requirements elicitation connected, and what tools and techniques support this integration?; Can requirements be accommodated into architecture using recent frameworks and methods?; What gaps exist between architecture and requirements in research, industry, and academia?; How can the Architecture Centric Requirement Elicitation (ACRE) approach bridge these gaps?; How do current tools and techniques map to architecture-centric requirements elicitation processes?</t>
  </si>
  <si>
    <t>**Methodology:** The study followed a systematic literature review protocol based on Petersen et al.'s guidelines. A search process was conducted across major publishers (IEEE, Elsevier, Springer, ACM, Taylor &amp; Francis), focusing on works published between 2009 and 2022. A total of 61 relevant studies were selected after applying inclusion and exclusion criteria. Data extraction involved cataloging tools, methods, frameworks, and languages, while synthesis highlighted gaps, strengths, and weaknesses. Quality assessment of studies was conducted through evaluation criteria ensuring methodological rigor.</t>
  </si>
  <si>
    <t>**Main Findings:** The review identified over 60 tools, techniques, and frameworks relevant to architecture-centric requirements elicitation. It showed that pre-defining architecturally significant requirements, traceability methods like Decision-Centric Traceability, and models such as Twin Peaks are effective in bridging architecture and requirements. However, significant gaps remain in handling trade-offs, quality attributes, and multi-objective approaches. The study introduced a taxonomical resource bank that categorizes tools, frameworks, and techniques into groups and sub-groups, making them more accessible for research and practice.</t>
  </si>
  <si>
    <t>**Conclusions:** Integrating software architecture into requirements elicitation enhances traceability, quality, and rapid development. While tools and methods exist, gaps in addressing complexity, trade-offs, and quality attributes persist. The study concludes that ACRE-based approaches and the resource bank provide valuable foundations to bridge the disconnect between requirements and architecture, improving rapid software development practices.</t>
  </si>
  <si>
    <t>**Limitations:** The study is limited by its reliance on existing literature and expert evaluation without quantitative empirical validation. The selected time frame (2009–2022) may exclude relevant earlier contributions. The applicability of the proposed resource bank depends on continued updates and real-world testing.</t>
  </si>
  <si>
    <t>A menção à "expert evaluation" como uma limitação do próprio estudo é uma alucinação.
A necessidade de "real-world testing" é uma alucinação. Embora seja um passo lógico para qualquer modelo acadêmico, os autores não mencionam isso em nenhum lugar do artigo.</t>
  </si>
  <si>
    <t>**Objectives:** The paper aims to investigate how software architecture can be integrated into requirements elicitation to support rapid software development. It seeks to explore strategies, tools, and techniques that connect requirements and architecture, identify research gaps, and propose a resource bank for better traceability and efficiency. Another objective is to critically evaluate industrial and academic approaches to bridging the gap between requirements engineering and architecture.</t>
  </si>
  <si>
    <t>**Research Questions:** How are software architecture and requirements elicitation connected, and what are their tools, techniques, pros/cons, and challenges?; Can requirements be accommodated in software architecture using modern frameworks and methods?; What gaps exist between architecture and requirements in academic and industrial practice?; How can Architecture Centric Requirement Elicitation (ACRE) bridge these gaps?; How do existing tools, techniques, and frameworks support architecture-centric requirements elicitation?</t>
  </si>
  <si>
    <t>**Methodology:** The study adopted a systematic literature review approach following the protocol of Petersen et al. It defined inclusion and exclusion criteria, searched peer-reviewed sources (IEEE, Elsevier, ACM, Springer, Taylor &amp; Francis), and applied title/abstract screening and detailed analysis. From 2009 to 2021, 61 primary studies were selected, covering tools, techniques, frameworks, and methods relevant to architecture-centric requirement elicitation. Data extraction synthesized categories of tools, their applicability, strengths, weaknesses, and gaps, leading to a taxonomical resource bank.</t>
  </si>
  <si>
    <t>2021 não está correto, o texto cita que utilizou literatura de 2009 até o dia presente, o artigo foi publicado em maio de 2022</t>
  </si>
  <si>
    <t>**Main Findings:** The review found strong interrelations between requirements elicitation and architecture, particularly through service-oriented and knowledge-sharing architectures, similarity computations, and multi-model approaches. Architecturally significant requirements (ASRs) are critical but often difficult to identify early. The study highlighted 60+ tools and techniques, such as ATAM, AADL, STREAM-AP, and ArcheR, which provide partial solutions but lack hybrid and multi-objective approaches. A dendrogram of gaps and a taxonomical resource bank were developed to guide researchers and practitioners. The analysis revealed that most tools are single-objective and do not adequately address complexity, traceability, or evolving needs.</t>
  </si>
  <si>
    <t>**Conclusions:** The study concludes that integrating architecture into requirements elicitation improves traceability, reusability, and rapid software development. While many tools exist, significant research and industrial gaps remain, particularly in multi-objective methods and hybrid approaches. ACRE offers a promising path to bridge these gaps, and the resource bank created can guide future research and practice. Requirements aligned with architectural considerations help reduce disconnects between design, engineering, and implementation.</t>
  </si>
  <si>
    <t>**Limitations:** The study notes that existing tools lack sufficient multi-objective and hybrid approaches; most are single-purpose and not comprehensive. Additionally, the review did not include statistical meta-analysis, and empirical validation of proposed frameworks remains limited.</t>
  </si>
  <si>
    <t>A primeira parte fala de uma conclusão do estudo como se fosse uma limitação do mesmo.
Os autores declaram explicitamente que usaram meta-análise como parte de sua metodologia.</t>
  </si>
  <si>
    <t>**Objectives:** The study aims to explore how software architecture can be integrated into requirements elicitation to support rapid software development. It seeks to identify strategies, tools, and techniques that bridge the gap between requirements and architecture, analyze their strengths and weaknesses, and highlight open challenges. Another goal is to provide a structured resource bank to guide researchers and practitioners in applying architecture-centric approaches effectively.</t>
  </si>
  <si>
    <t xml:space="preserve">**Research Questions:** How are software architecture and requirements elicitation connected, and what are their state-of-the-art tools, techniques, pros and cons, applicability, challenges, and domains?; Is it possible to accommodate requirements in software architecture using recent frameworks, tools, and techniques?; What are the research, industrial, and academic gaps between software architecture and requirements in current practice?; How can the Architecture Centric Requirement Elicitation (ACRE) approach bridge these gaps and balance architecture with requirement elicitation operations?; How do tools and techniques in requirement elicitation relate to architecture-centric approaches?
</t>
  </si>
  <si>
    <t xml:space="preserve">**Study Type:** Systematic literature review
</t>
  </si>
  <si>
    <t xml:space="preserve">**Methodology:** The study followed the systematic literature review protocol by Petersen et al., defining inclusion and exclusion criteria and applying a structured search strategy across IEEE, Elsevier, Springer, ACM, and Taylor &amp; Francis. Query strings targeted architecture-centric requirement elicitation and related concepts. From 2009 onwards, relevant studies were shortlisted based on titles and abstracts, with detailed reviews of 61 selected papers. Data extraction considered study metadata, proposed solutions, contributions, and identified research gaps, and a synthesis grouped findings into categories and frameworks.
</t>
  </si>
  <si>
    <t>**Main Findings:** The review shows that architecture and requirements elicitation are strongly interdependent, with models like SOA, KSA, TOGAF, UID, and multi-model approaches supporting integration. Architecturally significant requirements (ASRs) are crucial for mapping requirements into design, but their identification remains difficult. Tools such as ATAM, ArcheR, ADL, PL-Aspectual ACME, STREAM-AP, and Twin Peaks support traceability, trade-offs, and design decisions. However, most current tools are single-objective, with few hybrid or multi-objective approaches available. Research gaps persist in quality requirements, business modelling, trade-offs, and identification of ASRs. The study also presents a taxonomical resource bank and dendrogram to highlight challenges and opportunities.</t>
  </si>
  <si>
    <t>**Conclusions:** Integrating software architecture into requirements elicitation is essential for rapid software development, improving traceability, adaptability, and quality. Architecture-centric approaches, when supported by suitable tools and frameworks, reduce gaps between requirements, design, and architecture, leading to more robust and efficient systems.</t>
  </si>
  <si>
    <t>**Limitations:** The review is limited to peer-reviewed sources from 2009 onwards, which may exclude relevant earlier or non-indexed work. Most included studies emphasize theoretical approaches with limited quantitative validation, and only a small percentage of tools address hybrid or multi-objective requirements effectively.</t>
  </si>
  <si>
    <t xml:space="preserve">**Objectives:** The study aims to investigate how software architecture can be integrated into requirements elicitation to support rapid software development. It seeks to analyze tools, techniques, and frameworks that bridge the gap between requirements and architecture, improve traceability, and enhance development efficiency. Another objective is to identify open challenges and propose a structured resource bank for practitioners and researchers.
</t>
  </si>
  <si>
    <t>**Research Questions:** How are software architecture and requirements elicitation connected, and what are their state-of-the-art tools, techniques, and challenges?; Is it possible to accommodate requirements in software architecture using recent frameworks, tools, and methods?; What are the research, industrial, and academic gaps between requirements and architecture in rapid development contexts?; How can Architecture-Centric Requirement Elicitation (ACRE) help bridge these gaps?; How do tools, techniques, and processes support architecture-centric approaches to requirement elicitation?</t>
  </si>
  <si>
    <t>**Methodology:** The authors followed the systematic review process outlined by Petersen et al., developing a protocol with selection and rejection criteria, search strategies, and data extraction guidelines. They reviewed studies published between 2009 and 2022 in major publishers such as IEEE, Elsevier, Springer, ACM, and Taylor &amp; Francis. A total of 61 relevant studies and tools were analyzed, focusing on architecture-centric requirement elicitation, with results synthesized into taxonomies, dendrograms, and a resource bank for practical application.</t>
  </si>
  <si>
    <t>**Main Findings:** The review identified over 60 tools, techniques, and frameworks supporting integration of architecture and requirements. Service-Oriented Architectures, Knowledge-Sharing Architectures, multi-model approaches, and similarity computations were found to be effective in bridging requirements and architecture. Architecturally Significant Requirements (ASRs) and traceability mechanisms like Decision-Centric Traceability were key factors in improving alignment. However, research gaps were noted in identifying ASRs, handling trade-offs, and aligning business requirements with architectural models. The proposed resource bank categorizes tools and techniques to guide practitioners and researchers.</t>
  </si>
  <si>
    <t>**Conclusions:** Integrating software architecture into requirements elicitation is critical for achieving rapid, high-quality software development. Tools, frameworks, and approaches that consider both architecture and requirements simultaneously help reduce gaps, improve traceability, and ensure better design decisions. The study concludes that ACRE-based methods are essential to support sustainable and efficient development practices.</t>
  </si>
  <si>
    <t>**Limitations:** The review is limited by its reliance on selected publishers and studies published between 2009 and 2022. The lack of quantitative evaluation across the identified tools and techniques restricts empirical validation. Furthermore, many proposed methods remain theoretical or lack real-world industrial adoption.</t>
  </si>
  <si>
    <t xml:space="preserve">**Objectives:** The paper aims to analyze how advances in computer science and technology have contributed to and driven the development of the Internet of Things (IoT). It focuses on identifying the core technologies, architectural models, and applications that establish IoT as a key emerging field. It also examines challenges and opportunities posed by the integration of computer science with IoT systems.
</t>
  </si>
  <si>
    <t>**Research Questions:** What is the role of computer science and technology in enabling the development of IoT?; Which core technologies form the foundation of IoT?; How does the three-tier architecture of IoT illustrate the integration of computer science?; What challenges and societal implications arise from IoT development?</t>
  </si>
  <si>
    <t>O artigo não possue questões explicitas porém o chatgpt fornece questões que podem ser consideradas corretas</t>
  </si>
  <si>
    <t>**Study Type:** Conceptual/qualitative analysis</t>
  </si>
  <si>
    <t>**Methodology:** The study uses a descriptive and analytical approach, synthesizing literature and conceptual models to illustrate IoT's development. It explains the three-tier architecture (perception, network, and application layers), identifies core technologies such as RFID and software systems, and discusses domain-specific examples such as IoT in medical systems. Figures and flowcharts are used to support the conceptual analysis.</t>
  </si>
  <si>
    <t>**Main Findings:** Computer science and technology have laid the foundation for IoT by providing essential tools, frameworks, and technical expertise. The three-tier structure of IoT demonstrates how perception, transmission, and application layers interact to enable large-scale systems. Applications in healthcare and other sectors illustrate IoT's organizational benefits and efficiency improvements. The study also highlights challenges such as uneven dissemination of computer science knowledge and the need for skilled professionals.</t>
  </si>
  <si>
    <t>Adiciona limitações</t>
  </si>
  <si>
    <t>**Conclusions:** Computer science and technology play a decisive role in shaping IoT, both by providing enabling technologies and by driving its organizational models. The study concludes that continued development of computer science, combined with societal investment in technical expertise, will further accelerate IoT growth and integration across sectors.</t>
  </si>
  <si>
    <t>**Rationale (CoT):** "The objectives and research questions were derived from the abstract and section headings emphasizing analysis of the role of computer science in IoT</t>
  </si>
  <si>
    <t xml:space="preserve">**Objectives:** To explore how computer science and related technologies underpin and promote the development of the Internet of Things (IoT). The study aims to analyze the core technologies involved, the structural models supporting IoT, and the broader role of computer science in enabling IoT applications.
</t>
  </si>
  <si>
    <t>**Research Questions:** What are the key computer science technologies that support the development of IoT?; How does the three-tier IoT structure function in practice?; In what ways does computer science accelerate or limit IoT adoption in society?</t>
  </si>
  <si>
    <t>**Study Type:** Conceptual/analytical study (descriptive analysis)</t>
  </si>
  <si>
    <t>**Methodology:** The paper employs a conceptual analysis of IoT technologies and their relationship with computer science. It discusses core technologies such as RFID, software systems, and layered architectures, illustrating their application through models and diagrams (e.g., three-tier structure, medical IoT system). No empirical data collection or statistical analysis was conducted.</t>
  </si>
  <si>
    <t>**Main Findings:** Computer science provides the technical foundation for IoT by enabling connectivity, data processing, and system integration. Core technologies such as RFID, layered network structures, and application frameworks are central to IoT growth. The three-tier IoT model (perception, network, application layers) organizes IoT development systematically. Examples like medical IoT systems demonstrate how computer science drives real-world IoT applications.</t>
  </si>
  <si>
    <t>**Conclusions:** Computer science and technology play a critical, foundational role in the advancement of IoT. Their integration enhances system organization, functionality, and application in diverse domains, but wider adoption is still needed to maximize IoT's potential.</t>
  </si>
  <si>
    <t>Adiciona que adoção mais ampla é necessario para IoT chegar ao potencial maximo, o que não está no gabarito</t>
  </si>
  <si>
    <t xml:space="preserve">**Rationale (CoT):** "The abstract and sections describe aims to analyze the promoting role of computer science in IoT development
. The research questions were inferred from the stated goals and thematic structure (core technologies
</t>
  </si>
  <si>
    <t xml:space="preserve">**Objectives:** Examine how computer science and technology promote and enable the development of the Internet of Things (IoT). Identify the foundational role of core technologies and assess their applications in structured IoT systems, including medical contexts.
</t>
  </si>
  <si>
    <t>Gabarito consta field of computer science não medical contexts</t>
  </si>
  <si>
    <t>**Research Questions:** What is the role of computer science and technology in laying the foundation for the development of IoT?; Which core technologies are most influential in the evolution of IoT?; How does the three-tier structure of IoT benefit from advancements in computer science and technology?</t>
  </si>
  <si>
    <t>**Study Type:** Conceptual/analytical study</t>
  </si>
  <si>
    <t>**Methodology:** The paper reviews IoT concepts and presents a three-tier model (perception, network, and application layers). It analyzes the role of computer science technologies such as RFID, sensors, and networking protocols through descriptive diagrams and flowcharts. Examples include schematic representations of IoT in healthcare systems to illustrate applications. The analysis is qualitative and based on conceptual modeling rather than empirical testing.</t>
  </si>
  <si>
    <t>**Main Findings:** Computer science and technology provide the essential technical foundation for IoT development. Core technologies like RFID and sensor networks enable data capture, transmission, and integration across IoT layers. The three-tier structure ensures organized interaction between perception, network, and application domains. Application cases, such as IoT in healthcare, demonstrate improved organization and efficiency through these technologies.</t>
  </si>
  <si>
    <t>**Conclusions:** IoT development is inseparable from advances in computer science and technology, which supply both foundational tools and organizational frameworks. By embedding technologies into layered models, IoT can expand in sectors like healthcare and enhance societal value.</t>
  </si>
  <si>
    <t>**Limitations:** Not explicitly stated; the study relies on conceptual analysis and illustrative diagrams without empirical validation or quantitative data.</t>
  </si>
  <si>
    <t>Admite que não é mencionado explicitamente mas mesmo assim entrega limitações</t>
  </si>
  <si>
    <t>**Rationale (CoT):** "The abstract specifies a focus on analyzing the promoting role of computer science and technology in IoT development. Sections describe IoT concepts</t>
  </si>
  <si>
    <t xml:space="preserve">**Objectives:** The study aims to analyze how computer science and technology drive the development of the Internet of Things (IoT). It seeks to describe the core technologies, architectures, and societal impacts that enable IoT growth, and to examine challenges and opportunities associated with computer science's influence on IoT advancement.
</t>
  </si>
  <si>
    <t>**Research Questions:** What is the role of computer science and technology in promoting IoT development?; Which core technologies of computer science are most influential in IoT?; How does the integration of computer science improve IoT architecture and applications?; What challenges limit the widespread application of computer science in IoT?</t>
  </si>
  <si>
    <t>**Study Type:** Qualitative conceptual analysis</t>
  </si>
  <si>
    <t>**Methodology:** The paper adopts a literature-based and conceptual approach, drawing on prior studies, theoretical frameworks, and technological models. It examines IoT through core computer science technologies such as RFID, network communication, and layered architectures. Illustrative diagrams and domain-specific IoT applications, including medical systems, are discussed to clarify the enabling role of computer science.</t>
  </si>
  <si>
    <t>**Main Findings:** Computer science provides the technical foundation for IoT, including key technologies such as RFID, data processing, and communication protocols. The IoT system architecture is typically structured in three tiers (perception, network, and application), which computer science helps organize and optimize. Applications in fields such as healthcare illustrate the transformative potential of IoT when supported by strong computer science infrastructure. However, gaps remain in widespread adoption and in availability of skilled technical personnel.</t>
  </si>
  <si>
    <t>**Conclusions:** The development of IoT is heavily dependent on advances in computer science and technology. Effective integration of computing innovations ensures more robust architectures, improved data management, and practical applications in diverse domains. Sustained progress requires continued research, technical expertise, and broader dissemination of computer science capabilities.</t>
  </si>
  <si>
    <t>**Rationale (CoT):** "The abstract and introductory sections highlight the objective of analyzing how computer science drives IoT development
. The research questions were inferred from repeated emphasis on role analysis</t>
  </si>
  <si>
    <t xml:space="preserve">**Objectives:** To analyze how computer science and related technologies contribute to and accelerate the development of the Internet of Things (IoT). The paper aims to clarify the foundational role of computing technologies in IoT infrastructures and highlight their influence in organizational, structural, and application contexts.
</t>
  </si>
  <si>
    <t>**Research Questions:** What core computer science technologies underpin the development of IoT; How does the three-tier IoT architecture benefit from advances in computer science; In what ways do computing professionals and their expertise drive IoT innovation and adoption</t>
  </si>
  <si>
    <t>**Methodology:** The study reviews the relationship between computer science and IoT development by discussing conceptual models, such as RFID systems, IoT three-tier architectures, and application examples like medical systems. It draws on theoretical analysis rather than empirical experiments, using diagrams and structured breakdowns to illustrate interactions between computing technologies and IoT structures.</t>
  </si>
  <si>
    <t>**Main Findings:** Computer science and technology form the backbone of IoT by providing key enablers such as data processing, communication frameworks, and software systems. The three-tier IoT architecture—perception, network, and application layers—is strengthened through computing innovations, improving efficiency, organization, and scalability. Technical professionals in computer science play a critical role in translating these technologies into functioning IoT ecosystems, ensuring integration across domains like healthcare and industry.</t>
  </si>
  <si>
    <t>Adiciona technical professionals as a critical role</t>
  </si>
  <si>
    <t>**Conclusions:** The study concludes that computer science and technology are indispensable drivers of IoT development, laying both the theoretical and practical foundations for its growth. By strengthening architectures and empowering skilled professionals, computing disciplines will continue to accelerate IoT adoption and impact.</t>
  </si>
  <si>
    <t>Adiciona empowering skilled professionals</t>
  </si>
  <si>
    <t>**Rationale (CoT):** "The title and abstract explicitly emphasize analyzing the role of computer science in IoT development
. The research questions are inferred from sections describing core technologies</t>
  </si>
  <si>
    <t xml:space="preserve">**Objectives:** The study aims to analyze how computer science and technology act as driving forces for the development of the Internet of Things (IoT). It seeks to identify the foundational role of computer science in IoT, explore the core technologies involved, and discuss how technical talent and societal support contribute to IoT growth.
</t>
  </si>
  <si>
    <t>**Research Questions:** What is the relationship between computer science/technology and the development of IoT?; Which core technologies of computer science are most critical for IoT applications?; How does the three-tier structure of IoT illustrate the enabling role of computer science?; What challenges and opportunities exist for integrating computer science with IoT development?</t>
  </si>
  <si>
    <t>**Methodology:** The paper is primarily conceptual and analytical, presented as part of a conference proceeding. It reviews existing literature and models, including RFID technology, software systems, and the three-tier IoT structure (perception, network, and application layers). It uses illustrative diagrams and domain-specific examples, such as IoT in medical systems, to clarify the role of computer science in supporting IoT development.</t>
  </si>
  <si>
    <t>**Main Findings:** Computer science and technology provide the foundational infrastructure for IoT through core technologies such as RFID, networking protocols, and software integration. The three-tier IoT structure highlights the interplay between perception, network, and application layers, all relying heavily on advances in computer science. Technical professionals in the field are recognized as crucial drivers of IoT progress, while societal support and organizational frameworks enhance adoption. The study emphasizes IoT's application potential, including in healthcare systems, where structured models enable better efficiency and service.</t>
  </si>
  <si>
    <t>**Conclusions:** Computer science and technology are fundamental to IoT development, shaping its architecture, enabling core technologies, and facilitating practical applications. Sustained innovation and recognition of technical expertise are critical to IoT's continued growth and integration into diverse industries.</t>
  </si>
  <si>
    <t>**Rationale (CoT):** "The title and objectives are directly taken from the abstract and thematic focus. Research questions are inferred from the abstract and section headings on core technologies</t>
  </si>
  <si>
    <t xml:space="preserve">**Objectives:** The study aims to examine how AI-powered training and development initiatives influence employees' environmental knowledge and green behavior in SMEs. It focuses on three AI-driven dimensions—personalized learning, gamification and simulation, and knowledge assessment and feedback—grounded in the Theory of Planned Behavior, to understand their direct and mediated effects on workplace sustainability practices.
</t>
  </si>
  <si>
    <t>**Research Questions:** How does AI-powered personalized learning influence employee green knowledge and behavior; How do gamification and simulation influence employee green knowledge and behavior; How do knowledge assessment and feedback influence employee green knowledge and behavior; Does employee green knowledge mediate the relationship between AI-powered training dimensions and employee green behavior</t>
  </si>
  <si>
    <t>**Study Type:** Quantitative survey-based study using structural equation modeling</t>
  </si>
  <si>
    <t>**Methodology:** Data were collected from SMEs in Pakistan using a questionnaire survey with 530 distributed and 315 valid responses. Items were adapted from prior validated studies and measured on a five-point Likert scale. PLS-SEM (partial least squares structural equation modeling) was applied, including measurement model evaluation (factor loadings, CR, Cronbach's alpha, AVE, HTMT), followed by hypothesis testing through bootstrapping with 5,000 resamples.</t>
  </si>
  <si>
    <t>**Main Findings:** All three AI-powered training dimensions significantly improved employee environmental knowledge and green behavior. Employee green knowledge also had a direct positive impact on green behavior and served as a significant mediator between training and behavior. Among dimensions, knowledge assessment and feedback showed the strongest influence, followed by gamification and personalized learning. These results highlight that multimodal AI-driven training strategies enhance both knowledge and behavior, strengthening pro-environmental workplace practices.</t>
  </si>
  <si>
    <t>A ordem de força dos impactos (KAF &gt; GMS &gt; PRL) não aparece no gabarito, embora esteja nos resultados do artigo. Está correto em relação ao texto base, mas extrapola o gabarito.</t>
  </si>
  <si>
    <t>**Conclusions:** AI-powered training methods can effectively promote employee green knowledge and behavior. Combining personalization, gamification, and continuous feedback provides a holistic approach to sustainability training. The findings support the Theory of Planned Behavior by showing knowledge as a key mediator, and provide practical guidance for organizations aiming to adopt AI in GHRM.</t>
  </si>
  <si>
    <t>A resposta cobre o núcleo da conclusão, mas deixou de enfatizar a relevância global, presente no gabarito.</t>
  </si>
  <si>
    <t>**Limitations:** The study is limited to SMEs in Pakistan and used convenience sampling, which may restrict generalizability. Self-reported data may introduce social desirability bias. Broader samples, objective behavioral measures, and consideration of organizational factors are suggested for future research.</t>
  </si>
  <si>
    <t>**Rationale (CoT):** "The abstract and introduction explicitly state the objective of analyzing AI-powered training's impact on employee green knowledge and behavior</t>
  </si>
  <si>
    <t xml:space="preserve">**Objectives:** To investigate how AI-driven green training and development affects employee environmental knowledge and green behavior in SMEs. The study aims to evaluate the roles of personalized learning, gamification and simulation, and knowledge assessment and feedback in shaping pro-environmental workplace practices, guided by the Theory of Planned Behavior.
</t>
  </si>
  <si>
    <t>**Research Questions:** How do AI-powered personalized learning, gamification and simulation, and knowledge assessment and feedback impact employee green knowledge?; How do these AI-powered training dimensions influence employee green behavior?; Does employee green knowledge mediate the relationship between AI-powered training dimensions and employee green behavior?</t>
  </si>
  <si>
    <t>**Study Type:** Quantitative survey-based study</t>
  </si>
  <si>
    <t>**Methodology:** Data were collected through a questionnaire survey of SMEs in Pakistan. Out of 530 questionnaires distributed, 315 valid responses were analyzed. Constructs were measured with items adapted from prior validated studies using a five-point Likert scale. Data analysis employed PLS-SEM with SmartPLS, using factor loadings, composite reliability, AVE, and discriminant validity tests, followed by hypothesis testing with bootstrapping.</t>
  </si>
  <si>
    <t xml:space="preserve">**Main Findings:** All three AI-powered training dimensions—personalized learning, gamification and simulation, and knowledge assessment and feedback—positively and significantly influenced employee green knowledge and green behavior. Employee green knowledge was also a significant predictor of green behavior and mediated the relationships between AI-powered training and behavior. Gamification and knowledge assessment had particularly strong effects, highlighting the importance of interactive and feedback-driven approaches.
</t>
  </si>
  <si>
    <t>Alinhada ao artigo, mas extrapola o gabarito ao ranquear os efeitos, o que não constava no resumo oficial.</t>
  </si>
  <si>
    <t>**Conclusions:** AI-powered training enhances employee environmental knowledge and fosters pro-environmental workplace behavior. A multifaceted training strategy that integrates personalization, gamification, and continuous feedback maximizes impact, supporting organizational sustainability goals.</t>
  </si>
  <si>
    <t>Núcleo correto, mas omitiu a relevância global do estudo.</t>
  </si>
  <si>
    <t>**Limitations:** The study was limited to SMEs in Pakistan, used convenience sampling, and relied on self-reported data, which may introduce bias and limit generalizability.</t>
  </si>
  <si>
    <t>**Rationale (CoT):** "The title and objectives were drawn from the abstract and introduction</t>
  </si>
  <si>
    <t xml:space="preserve">**Objectives:** The study aims to investigate how AI-powered green training and development programs affect employees' environmental knowledge and green behavior. It specifically explores the roles of personalized learning, gamification and simulation, and knowledge assessment and feedback in shaping sustainable workplace practices, grounded in the Theory of Planned Behavior.
</t>
  </si>
  <si>
    <t>**Research Questions:** How does AI-powered personalized learning impact employee green knowledge and behavior?; How do AI-powered gamification and simulation affect employee green knowledge and behavior?; How does AI-powered knowledge assessment and feedback influence employee green knowledge and behavior?; Does employee green knowledge mediate the relationship between AI-powered green training dimensions and green behavior?</t>
  </si>
  <si>
    <t>**Methodology:** The study employed a survey methodology targeting small and medium enterprises (SMEs) in Pakistan. A total of 530 questionnaires were distributed, achieving 315 valid responses. The constructs were measured using adapted items on a five-point Likert scale. Data analysis was performed using PLS-SEM with 5,000 bootstrap resamples to evaluate measurement and structural models, test hypotheses, and assess mediation effects.</t>
  </si>
  <si>
    <t>Respondeu corretamente, mas omitiu detalhes de confiabilidade/validade exigidos no gabarito.</t>
  </si>
  <si>
    <t>**Main Findings:** All three AI-powered training dimensions—personalized learning, gamification and simulation, and knowledge assessment and feedback—significantly improved employee environmental knowledge and green behavior. Employee green knowledge itself was positively associated with green behavior and mediated the effects of AI-powered training on behavior. Among the training dimensions, knowledge assessment and feedback showed the strongest effect on green behavior. Results confirm that integrating multiple AI-driven methods enhances both knowledge retention and sustainable actions in organizations.</t>
  </si>
  <si>
    <t>**Conclusions:** AI-powered training significantly fosters employee green knowledge and behavior, demonstrating the importance of embedding personalization, interactivity, and feedback in sustainability initiatives. A multifaceted AI-based approach strengthens environmental awareness and translates into sustainable workplace practices, aligning organizational goals with broader environmental sustainability.</t>
  </si>
  <si>
    <t>Conteúdo correto, mas faltou referência à aplicabilidade global presente no gabarito.</t>
  </si>
  <si>
    <t>**Limitations:** The study focused only on SMEs in Pakistan, limiting generalizability. The use of self-reported survey data raises potential social desirability bias. Convenience sampling may restrict representativeness, and no objective behavioral measures were included.</t>
  </si>
  <si>
    <t>**Rationale (CoT):** "The objectives and research questions were derived from the abstract and introduction</t>
  </si>
  <si>
    <t xml:space="preserve">**Objectives:** The study investigates how AI-powered green training and development initiatives affect employees' environmental knowledge and green behavior in SMEs. It seeks to analyze the roles of personalized learning, gamification and simulation, and knowledge assessment and feedback in fostering sustainable practices among employees.
</t>
  </si>
  <si>
    <t xml:space="preserve">**Research Questions:** How do AI-powered personalized learning, gamification and simulation, and knowledge assessment and feedback impact employee green knowledge; How does employee green knowledge influence employee green behavior; Does employee green knowledge mediate the relationship between AI-powered green development practices and employee green behavior
</t>
  </si>
  <si>
    <t>**Methodology:** The study collected data via a survey distributed to 530 SME managers in Pakistan, obtaining 315 valid responses. Validated scales from prior studies were adapted to measure AI-powered training dimensions, employee green knowledge, and employee green behavior using Likert scales. Data analysis employed Partial Least Squares Structural Equation Modeling (PLS-SEM) with bootstrapping to test reliability, validity, and hypothesized relationships, including mediation effects.</t>
  </si>
  <si>
    <t>Correta no geral, mas incompleta em relação às métricas de validade presentes no gabarito.</t>
  </si>
  <si>
    <t>**Main Findings:** All three AI-powered training dimensions—personalized learning, gamification and simulation, and knowledge assessment and feedback—positively and significantly influenced employee green knowledge and green behavior. Employee green knowledge itself was found to significantly improve green behavior. Mediation analysis showed that employee green knowledge mediates the relationship between AI-powered training practices and green behavior, confirming the Theory of Planned Behavior framework.</t>
  </si>
  <si>
    <t>**Conclusions:** AI-powered green development tools enhance employee environmental knowledge and positively influence green behavior in SMEs. A multimodal AI-driven training approach that integrates personalization, gamification, and continuous feedback is effective in cultivating sustainable employee practices.</t>
  </si>
  <si>
    <t>O núcleo está certo, mas faltou a dimensão global da aplicabilidade.</t>
  </si>
  <si>
    <t>**Limitations:** The study is limited to SMEs in Pakistan, which constrains generalizability. The use of self-reported survey data may introduce social desirability bias. Future research should use diverse samples, include objective behavioral measures, and examine organizational moderators.</t>
  </si>
  <si>
    <t>**Rationale (CoT):** "The abstract and introduction highlight the study's aim to assess AI-powered green training's influence on employee knowledge and behavior. Section III details survey-based data collection from 315 SMEs in Pakistan. Section IV explains the use of PLS-SEM</t>
  </si>
  <si>
    <t xml:space="preserve">**Objectives:** The study aims to examine how AI-powered training and development initiatives—personalized learning, gamification and simulation, and knowledge assessment and feedback—influence employee green knowledge and green behavior within small and medium enterprises in Pakistan. It seeks to explore whether employee environmental knowledge mediates the relationship between AI-driven green training and actual green behavior.
</t>
  </si>
  <si>
    <t>**Research Questions:** How do AI-powered personalized learning, gamification and simulation, and knowledge assessment and feedback impact employee green knowledge?; How do these dimensions influence employee green behavior?; Does employee green knowledge mediate the relationship between AI-powered green training and employee green behavior?</t>
  </si>
  <si>
    <t>**Study Type:** Quantitative empirical survey study using structural equation modeling (SEM)</t>
  </si>
  <si>
    <t>**Methodology:** Data were collected via an online questionnaire distributed to 530 SME employees in Pakistan, yielding 348 responses, with 315 valid samples after data cleaning. Items were adapted from prior validated scales and measured on five-point Likert scales. The study used Partial Least Squares Structural Equation Modeling (PLS-SEM) with SmartPLS to test hypotheses, supported by factor loadings, Cronbach's alpha, composite reliability, AVE, discriminant validity (HTMT, Fornell-Larcker), and bootstrapping with 5,000 resamples.</t>
  </si>
  <si>
    <t>**Main Findings:** All three AI-powered green training dimensions significantly enhanced employee green knowledge and green behavior. Employee green knowledge was also found to significantly predict green behavior. Mediation analysis showed that green knowledge positively mediated the relationship between AI-powered training dimensions and green behavior. Among the three, knowledge assessment and feedback had the strongest effect on behavior, followed by gamification/simulation and personalized learning.</t>
  </si>
  <si>
    <t>Alinhado ao artigo, mas extrapola o gabarito ao hierarquizar os efeitos.</t>
  </si>
  <si>
    <t>**Conclusions:** AI-powered green training contributes significantly to building employees' environmental knowledge and promoting sustainable workplace behaviors. A multi-faceted approach leveraging personalization, gamification, and continuous assessment maximizes effectiveness. The study confirms the Theory of Planned Behavior by showing knowledge as a key mediator between training interventions and pro-environmental behavior.</t>
  </si>
  <si>
    <t>Correto em essência, mas omite a conclusão global presente no gabarito.</t>
  </si>
  <si>
    <t>**Limitations:** The study is limited to SMEs in Pakistan, uses convenience sampling, and relies on self-reported survey data that may introduce social desirability bias. Results may not generalize across industries, countries, or larger organizations.</t>
  </si>
  <si>
    <t>**Rationale (CoT):** The objectives and research questions were derived from the abstract and introduction, which specified the focus on AI-powered training's influence on knowledge and behavior using TPB. The study type and methodology were identified from the methodology section describing survey data (n=315), Likert scales, and PLS-SEM. Main findings were taken from hypothesis testing results showing significant direct and mediated effects, with knowledge assessment &amp; feedback strongest. Conclusions were drawn from the discussion and conclusion emphasizing AI's transformative role and mediation via knowledge. Limitations were noted in the limitations section citing contextual scope, sampling, and reliance on self-reports.</t>
  </si>
  <si>
    <t xml:space="preserve">**Objectives:** The study aims to examine how AI-powered green training and development influence employee environmental knowledge and green behavior in SMEs. It specifically focuses on three AI-driven training dimensions—personalized learning, gamification and simulation, and knowledge assessment and feedback—and their role in shaping pro-environmental attitudes and actions, grounded in the Theory of Planned Behavior.
</t>
  </si>
  <si>
    <t>**Research Questions:** How do AI-powered personalized learning, gamification &amp; simulation, and knowledge assessment &amp; feedback influence employee green knowledge?; How do these three AI-powered training dimensions influence employee green behavior?; Does employee green knowledge mediate the relationship between AI-powered training dimensions and green behavior?</t>
  </si>
  <si>
    <t>**Methodology:** Data were collected through a structured questionnaire from SMEs in Pakistan, yielding 315 valid responses out of 530 distributed surveys. Questionnaire items were adapted from prior validated studies and measured on a five-point Likert scale. The analysis employed PLS-SEM with a two-step approach, using measurement model evaluation (factor loadings, Cronbach's alpha, composite reliability, AVE, discriminant validity) and structural model testing with bootstrapping (5,000 resamples) to test hypotheses and mediation effects.</t>
  </si>
  <si>
    <t>**Main Findings:** All three AI-powered training dimensions—personalized learning, gamification &amp; simulation, and knowledge assessment &amp; feedback—significantly enhanced employee green knowledge and behavior. Employee green knowledge was also found to significantly predict green behavior and mediated the relationship between AI-powered training dimensions and employee behavior. Knowledge assessment and feedback showed the strongest effect on green behavior, while gamification and personalized learning also had notable positive impacts.</t>
  </si>
  <si>
    <t>Correto em essência, mas extrapola o gabarito ao hierarquizar os efeitos.</t>
  </si>
  <si>
    <t>**Conclusions:** AI-powered green training and development play a transformative role in promoting employee green behavior by improving environmental knowledge. A multifaceted approach that integrates personalized learning, gamification, and continuous assessment is most effective in cultivating sustainable workplace practices. The findings provide practical implications for organizations aiming to integrate AI into GHRM to achieve sustainability goals.</t>
  </si>
  <si>
    <t>Está certo no núcleo, mas omitiu a dimensão global do estudo.</t>
  </si>
  <si>
    <t>**Limitations:** The study is limited to Pakistani SMEs and employed convenience sampling, which may affect generalizability. Reliance on self-reported data introduces potential social desirability bias. Future research should expand to diverse contexts, include objective behavioral measures, and examine moderating organizational factors.</t>
  </si>
  <si>
    <t>**Rationale (CoT):** "The objectives and research questions are explicitly stated in the abstract and introduction</t>
  </si>
  <si>
    <t xml:space="preserve">**Objectives:** The study aims to investigate how AI-powered green training and development initiatives affect employee environmental knowledge and subsequent green behavior in organizations. It seeks to evaluate the role of AI-driven personalized learning, gamification and simulation, and knowledge assessment and feedback in shaping sustainable workplace practices.
</t>
  </si>
  <si>
    <t>**Research Questions:** How does AI-powered personalized learning influence employee green knowledge and behavior?; How do gamification and simulation affect employee environmental knowledge and behavior?; What is the impact of AI-driven knowledge assessment and feedback on employee green knowledge and behavior?; Does employee green knowledge mediate the relationship between AI-powered green development practices and green behavior?</t>
  </si>
  <si>
    <t>**Methodology:** Data were collected from 530 distributed questionnaires targeting managers in Pakistani SMEs, yielding 315 valid responses after cleaning. A structured questionnaire measured constructs on a 5-point Likert scale, adapting items from prior validated studies. Statistical analysis employed Partial Least Squares Structural Equation Modeling (PLS-SEM), assessing reliability, convergent and discriminant validity, and hypothesis testing with 5,000 bootstrap resamples. Mediation analysis was also conducted to test the indirect effects of green knowledge.</t>
  </si>
  <si>
    <t>Está correta no essencial, mas omitiu métricas exigidas no gabarito.</t>
  </si>
  <si>
    <t>**Main Findings:** All three AI-powered green training dimensions—personalized learning, gamification and simulation, and knowledge assessment and feedback—positively and significantly influenced employee environmental knowledge and green behavior. Employee green knowledge itself had a strong positive effect on green behavior and acted as a mediator in the relationship between AI-powered training and behavior. Gamification and simulation, as well as knowledge assessment and feedback, showed especially strong impacts, highlighting the importance of interactive and evaluative AI tools in fostering sustainable practices.</t>
  </si>
  <si>
    <t>Correto no núcleo, mas extrapola ao ranquear efeitos, não previsto no gabarito.</t>
  </si>
  <si>
    <t>**Conclusions:** AI-driven green training substantially enhances employee environmental knowledge and promotes pro-environmental behavior in organizations. A multifaceted approach combining personalized learning, gamification, and feedback is most effective for cultivating a sustainability-oriented workforce. These findings provide a roadmap for organizations to leverage AI in advancing green human resource management and sustainability goals.</t>
  </si>
  <si>
    <t>Correto em essência, mas faltou a ênfase nas conclusões globais.</t>
  </si>
  <si>
    <t>**Limitations:** The study is limited to SMEs in Pakistan, which may restrict generalizability. The use of self-reported survey data may introduce social desirability bias. Future research should incorporate diverse samples, objective behavioral measures, and explore moderating organizational factors.</t>
  </si>
  <si>
    <t>Correta em parte, mas incompleta por não mencionar a limitação da conveniência da amostra.</t>
  </si>
  <si>
    <t xml:space="preserve">**Rationale (CoT):** "The abstract and introduction state the goal of exploring AI-powered training's effect on environmental knowledge and behavior within the Theory of Planned Behavior framework
. Section III details methodology—survey data from 315 SMEs
</t>
  </si>
  <si>
    <t xml:space="preserve">**Objectives:** The study examines how AI-powered green training initiatives affect employees' environmental knowledge and green behavior. It focuses on personalized learning, gamification and simulation, and knowledge assessment and feedback to determine their role in fostering sustainability practices.
</t>
  </si>
  <si>
    <t>Alinhada em essência, mas faltou incluir o recorte de SMEs no Paquistão no próprio objetivo, presente no gabarito.</t>
  </si>
  <si>
    <t>**Research Questions:** How do AI-powered personalized learning, gamification and simulation, and knowledge assessment and feedback affect employee green knowledge?; How do these AI-powered training dimensions impact employee green behavior?; Does employee green knowledge mediate the relationship between AI-powered training and employee green behavior?</t>
  </si>
  <si>
    <t>**Methodology:** Data were collected from 315 SME employees in Pakistan using an online questionnaire adapted from validated scales. Responses were measured on a five-point Likert scale. Analysis employed Partial Least Squares Structural Equation Modeling (PLS-SEM) with reliability, validity, and mediation tests, using 5,000 bootstrap resamples.</t>
  </si>
  <si>
    <t>Está correta no geral, mas incompleta em relação aos detalhes do gabarito (530 enviados e métricas específicas de validade).</t>
  </si>
  <si>
    <t>**Main Findings:** All three AI-powered training dimensions significantly improved employee green knowledge. Green knowledge strongly influenced green behavior. Mediation analysis showed that knowledge mediates the relationship between AI-powered training and green behavior. Gamification enhanced engagement, feedback reinforced learning, and personalized learning increased knowledge retention.</t>
  </si>
  <si>
    <t>Essência correta, mas extrapola o gabarito com interpretações não previstas no resumo oficial (embora estejam alinhadas ao artigo).</t>
  </si>
  <si>
    <t>**Conclusions:** AI-powered green training effectively enhances employee knowledge and behavior, with a multifaceted approach combining personalization, gamification, and feedback proving most effective. This demonstrates AI's potential to strengthen Green HRM and align workforce behavior with sustainability goals.</t>
  </si>
  <si>
    <t>Correta em essência, mas faltou a dimensão de aplicabilidade global.</t>
  </si>
  <si>
    <t>**Limitations:** The study was limited to SMEs in Pakistan, used convenience sampling, and relied on self-reported data, which may reduce generalizability and introduce social desirability bias.</t>
  </si>
  <si>
    <t>Zero Shot</t>
  </si>
  <si>
    <t>Few Shot</t>
  </si>
  <si>
    <t>Acertos</t>
  </si>
  <si>
    <t>Parcial</t>
  </si>
  <si>
    <t>Alucinação</t>
  </si>
  <si>
    <t>Pergunta</t>
  </si>
  <si>
    <t>Resultado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</si>
</sst>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0"/>
      <color theme="1"/>
      <name val="Arial"/>
      <charset val="1"/>
    </font>
    <font>
      <b/>
      <sz val="10"/>
      <color theme="1"/>
      <name val="Arial"/>
      <charset val="1"/>
    </font>
    <font>
      <sz val="11"/>
      <color rgb="FF000000"/>
      <name val="Aptos Narrow"/>
    </font>
    <font>
      <sz val="10"/>
      <color rgb="FF000000"/>
      <name val="Arial"/>
      <charset val="1"/>
    </font>
    <font>
      <sz val="11"/>
      <color rgb="FF000000"/>
      <name val="Aptos Narrow"/>
      <family val="2"/>
      <scheme val="minor"/>
    </font>
    <font>
      <sz val="10"/>
      <color rgb="FFFF0000"/>
      <name val="Arial"/>
      <charset val="1"/>
    </font>
  </fonts>
  <fills count="9">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C00000"/>
        <bgColor indexed="64"/>
      </patternFill>
    </fill>
    <fill>
      <patternFill patternType="solid">
        <fgColor rgb="FFACFF4D"/>
        <bgColor indexed="64"/>
      </patternFill>
    </fill>
    <fill>
      <patternFill patternType="solid">
        <fgColor theme="3" tint="0.89999084444715716"/>
        <bgColor indexed="64"/>
      </patternFill>
    </fill>
  </fills>
  <borders count="36">
    <border>
      <left/>
      <right/>
      <top/>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CCCCCC"/>
      </right>
      <top style="thin">
        <color rgb="FF000000"/>
      </top>
      <bottom/>
      <diagonal/>
    </border>
    <border>
      <left style="thin">
        <color rgb="FFCCCCCC"/>
      </left>
      <right style="thin">
        <color rgb="FF000000"/>
      </right>
      <top style="thin">
        <color rgb="FF000000"/>
      </top>
      <bottom style="thin">
        <color rgb="FF000000"/>
      </bottom>
      <diagonal/>
    </border>
    <border>
      <left/>
      <right style="thin">
        <color rgb="FFCCCCCC"/>
      </right>
      <top style="thin">
        <color rgb="FF000000"/>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000000"/>
      </top>
      <bottom/>
      <diagonal/>
    </border>
    <border>
      <left/>
      <right style="thin">
        <color rgb="FF000000"/>
      </right>
      <top style="thin">
        <color rgb="FFCCCCCC"/>
      </top>
      <bottom style="thin">
        <color rgb="FFCCCCCC"/>
      </bottom>
      <diagonal/>
    </border>
    <border>
      <left/>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top style="thin">
        <color rgb="FFCCCCCC"/>
      </top>
      <bottom style="thin">
        <color rgb="FF000000"/>
      </bottom>
      <diagonal/>
    </border>
    <border>
      <left/>
      <right/>
      <top/>
      <bottom style="thin">
        <color rgb="FF000000"/>
      </bottom>
      <diagonal/>
    </border>
    <border>
      <left/>
      <right style="thin">
        <color rgb="FF000000"/>
      </right>
      <top style="thin">
        <color rgb="FFCCCCCC"/>
      </top>
      <bottom style="thin">
        <color rgb="FF000000"/>
      </bottom>
      <diagonal/>
    </border>
    <border>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bottom style="thin">
        <color rgb="FF000000"/>
      </bottom>
      <diagonal/>
    </border>
    <border>
      <left style="thin">
        <color rgb="FF000000"/>
      </left>
      <right/>
      <top style="thin">
        <color rgb="FFCCCCCC"/>
      </top>
      <bottom style="thin">
        <color rgb="FFCCCCCC"/>
      </bottom>
      <diagonal/>
    </border>
    <border>
      <left style="thin">
        <color rgb="FF000000"/>
      </left>
      <right/>
      <top style="thin">
        <color rgb="FF000000"/>
      </top>
      <bottom style="thin">
        <color rgb="FFCCCCCC"/>
      </bottom>
      <diagonal/>
    </border>
    <border>
      <left/>
      <right/>
      <top style="thin">
        <color rgb="FF000000"/>
      </top>
      <bottom style="thin">
        <color rgb="FFCCCCCC"/>
      </bottom>
      <diagonal/>
    </border>
    <border>
      <left/>
      <right style="thin">
        <color rgb="FF000000"/>
      </right>
      <top style="thin">
        <color rgb="FF000000"/>
      </top>
      <bottom style="thin">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diagonal/>
    </border>
    <border>
      <left style="thin">
        <color rgb="FF000000"/>
      </left>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thin">
        <color rgb="FF000000"/>
      </right>
      <top/>
      <bottom/>
      <diagonal/>
    </border>
  </borders>
  <cellStyleXfs count="1">
    <xf numFmtId="0" fontId="0" fillId="0" borderId="0"/>
  </cellStyleXfs>
  <cellXfs count="102">
    <xf numFmtId="0" fontId="0" fillId="0" borderId="0" xfId="0"/>
    <xf numFmtId="0" fontId="1" fillId="0" borderId="1" xfId="0" applyFont="1" applyBorder="1" applyAlignment="1">
      <alignment horizontal="left" vertical="top" readingOrder="1"/>
    </xf>
    <xf numFmtId="0" fontId="1" fillId="0" borderId="2" xfId="0" applyFont="1" applyBorder="1" applyAlignment="1">
      <alignment horizontal="left" vertical="top" readingOrder="1"/>
    </xf>
    <xf numFmtId="0" fontId="1" fillId="0" borderId="3" xfId="0" applyFont="1" applyBorder="1" applyAlignment="1">
      <alignment horizontal="left" vertical="top" readingOrder="1"/>
    </xf>
    <xf numFmtId="0" fontId="1" fillId="0" borderId="4" xfId="0" applyFont="1" applyBorder="1" applyAlignment="1">
      <alignment horizontal="left" vertical="top" readingOrder="1"/>
    </xf>
    <xf numFmtId="0" fontId="1" fillId="0" borderId="5" xfId="0" applyFont="1" applyBorder="1" applyAlignment="1">
      <alignment horizontal="left" vertical="top" readingOrder="1"/>
    </xf>
    <xf numFmtId="0" fontId="1" fillId="0" borderId="6" xfId="0" applyFont="1" applyBorder="1" applyAlignment="1">
      <alignment horizontal="left" vertical="top" readingOrder="1"/>
    </xf>
    <xf numFmtId="0" fontId="1" fillId="0" borderId="7" xfId="0" applyFont="1" applyBorder="1" applyAlignment="1">
      <alignment horizontal="left" vertical="top" readingOrder="1"/>
    </xf>
    <xf numFmtId="0" fontId="1" fillId="0" borderId="8" xfId="0" applyFont="1" applyBorder="1" applyAlignment="1">
      <alignment horizontal="left" vertical="top" readingOrder="1"/>
    </xf>
    <xf numFmtId="0" fontId="1" fillId="0" borderId="9" xfId="0" applyFont="1" applyBorder="1" applyAlignment="1">
      <alignment horizontal="left" vertical="top" readingOrder="1"/>
    </xf>
    <xf numFmtId="0" fontId="1" fillId="0" borderId="11" xfId="0" applyFont="1" applyBorder="1" applyAlignment="1">
      <alignment horizontal="left" vertical="top" readingOrder="1"/>
    </xf>
    <xf numFmtId="0" fontId="1" fillId="0" borderId="12" xfId="0" applyFont="1" applyBorder="1" applyAlignment="1">
      <alignment horizontal="left" vertical="top" readingOrder="1"/>
    </xf>
    <xf numFmtId="0" fontId="1" fillId="0" borderId="13" xfId="0" applyFont="1" applyBorder="1" applyAlignment="1">
      <alignment horizontal="left" vertical="top" readingOrder="1"/>
    </xf>
    <xf numFmtId="0" fontId="1" fillId="0" borderId="14" xfId="0" applyFont="1" applyBorder="1" applyAlignment="1">
      <alignment horizontal="left" vertical="top" readingOrder="1"/>
    </xf>
    <xf numFmtId="0" fontId="1" fillId="0" borderId="15" xfId="0" applyFont="1" applyBorder="1" applyAlignment="1">
      <alignment horizontal="left" vertical="top" readingOrder="1"/>
    </xf>
    <xf numFmtId="0" fontId="1" fillId="0" borderId="16" xfId="0" applyFont="1" applyBorder="1" applyAlignment="1">
      <alignment horizontal="left" vertical="top" readingOrder="1"/>
    </xf>
    <xf numFmtId="0" fontId="1" fillId="0" borderId="17" xfId="0" applyFont="1" applyBorder="1" applyAlignment="1">
      <alignment horizontal="left" vertical="top" readingOrder="1"/>
    </xf>
    <xf numFmtId="0" fontId="1" fillId="0" borderId="11" xfId="0" applyFont="1" applyBorder="1" applyAlignment="1">
      <alignment horizontal="left" vertical="top" wrapText="1" readingOrder="1"/>
    </xf>
    <xf numFmtId="0" fontId="1" fillId="0" borderId="16" xfId="0" applyFont="1" applyBorder="1" applyAlignment="1">
      <alignment horizontal="left" vertical="top" wrapText="1" readingOrder="1"/>
    </xf>
    <xf numFmtId="0" fontId="1" fillId="0" borderId="18" xfId="0" applyFont="1" applyBorder="1" applyAlignment="1">
      <alignment horizontal="left" vertical="top" wrapText="1" readingOrder="1"/>
    </xf>
    <xf numFmtId="0" fontId="1" fillId="0" borderId="17" xfId="0" applyFont="1" applyBorder="1" applyAlignment="1">
      <alignment horizontal="left" vertical="top" wrapText="1" readingOrder="1"/>
    </xf>
    <xf numFmtId="0" fontId="1" fillId="0" borderId="15" xfId="0" applyFont="1" applyBorder="1" applyAlignment="1">
      <alignment horizontal="left" vertical="top" wrapText="1" readingOrder="1"/>
    </xf>
    <xf numFmtId="0" fontId="0" fillId="0" borderId="0" xfId="0" applyAlignment="1">
      <alignment horizontal="left" vertical="top"/>
    </xf>
    <xf numFmtId="0" fontId="1" fillId="0" borderId="1" xfId="0" applyFont="1" applyBorder="1" applyAlignment="1">
      <alignment horizontal="left" vertical="top" wrapText="1" readingOrder="1"/>
    </xf>
    <xf numFmtId="0" fontId="1" fillId="0" borderId="2" xfId="0" applyFont="1" applyBorder="1" applyAlignment="1">
      <alignment horizontal="left" vertical="top" wrapText="1" readingOrder="1"/>
    </xf>
    <xf numFmtId="0" fontId="1" fillId="0" borderId="4" xfId="0" applyFont="1" applyBorder="1" applyAlignment="1">
      <alignment horizontal="left" vertical="top" wrapText="1" readingOrder="1"/>
    </xf>
    <xf numFmtId="0" fontId="1" fillId="2" borderId="16" xfId="0" applyFont="1" applyFill="1" applyBorder="1" applyAlignment="1">
      <alignment horizontal="left" vertical="top" wrapText="1" readingOrder="1"/>
    </xf>
    <xf numFmtId="0" fontId="1" fillId="2" borderId="16" xfId="0" applyFont="1" applyFill="1" applyBorder="1" applyAlignment="1">
      <alignment horizontal="left" vertical="top" readingOrder="1"/>
    </xf>
    <xf numFmtId="0" fontId="1" fillId="3" borderId="16" xfId="0" applyFont="1" applyFill="1" applyBorder="1" applyAlignment="1">
      <alignment horizontal="left" vertical="top" readingOrder="1"/>
    </xf>
    <xf numFmtId="0" fontId="1" fillId="4" borderId="16" xfId="0" applyFont="1" applyFill="1" applyBorder="1" applyAlignment="1">
      <alignment horizontal="left" vertical="top" wrapText="1" readingOrder="1"/>
    </xf>
    <xf numFmtId="0" fontId="1" fillId="4" borderId="16" xfId="0" applyFont="1" applyFill="1" applyBorder="1" applyAlignment="1">
      <alignment horizontal="left" vertical="top" readingOrder="1"/>
    </xf>
    <xf numFmtId="0" fontId="2" fillId="0" borderId="20" xfId="0" applyFont="1" applyBorder="1" applyAlignment="1">
      <alignment horizontal="left" vertical="top" readingOrder="1"/>
    </xf>
    <xf numFmtId="0" fontId="2" fillId="0" borderId="21" xfId="0" applyFont="1" applyBorder="1" applyAlignment="1">
      <alignment horizontal="left" vertical="top" readingOrder="1"/>
    </xf>
    <xf numFmtId="0" fontId="2" fillId="0" borderId="22" xfId="0" applyFont="1" applyBorder="1" applyAlignment="1">
      <alignment horizontal="left" vertical="top" readingOrder="1"/>
    </xf>
    <xf numFmtId="0" fontId="1" fillId="3" borderId="16" xfId="0" applyFont="1" applyFill="1" applyBorder="1" applyAlignment="1">
      <alignment horizontal="left" vertical="top" wrapText="1" readingOrder="1"/>
    </xf>
    <xf numFmtId="0" fontId="3" fillId="3" borderId="0" xfId="0" applyFont="1" applyFill="1" applyAlignment="1">
      <alignment wrapText="1"/>
    </xf>
    <xf numFmtId="0" fontId="1" fillId="5" borderId="16" xfId="0" applyFont="1" applyFill="1" applyBorder="1" applyAlignment="1">
      <alignment horizontal="left" vertical="top" wrapText="1" readingOrder="1"/>
    </xf>
    <xf numFmtId="0" fontId="4" fillId="5" borderId="16" xfId="0" applyFont="1" applyFill="1" applyBorder="1" applyAlignment="1">
      <alignment horizontal="left" vertical="top" wrapText="1" readingOrder="1"/>
    </xf>
    <xf numFmtId="0" fontId="1" fillId="6" borderId="16" xfId="0" applyFont="1" applyFill="1" applyBorder="1" applyAlignment="1">
      <alignment horizontal="left" vertical="top" wrapText="1" readingOrder="1"/>
    </xf>
    <xf numFmtId="0" fontId="5" fillId="3" borderId="0" xfId="0" applyFont="1" applyFill="1" applyAlignment="1">
      <alignment wrapText="1"/>
    </xf>
    <xf numFmtId="0" fontId="0" fillId="3" borderId="0" xfId="0" applyFill="1" applyAlignment="1">
      <alignment vertical="top" wrapText="1"/>
    </xf>
    <xf numFmtId="0" fontId="4" fillId="3" borderId="16" xfId="0" applyFont="1" applyFill="1" applyBorder="1" applyAlignment="1">
      <alignment horizontal="left" vertical="top" wrapText="1" readingOrder="1"/>
    </xf>
    <xf numFmtId="0" fontId="1" fillId="4" borderId="6" xfId="0" applyFont="1" applyFill="1" applyBorder="1" applyAlignment="1">
      <alignment horizontal="left" vertical="top" readingOrder="1"/>
    </xf>
    <xf numFmtId="0" fontId="1" fillId="4" borderId="7" xfId="0" applyFont="1" applyFill="1" applyBorder="1" applyAlignment="1">
      <alignment horizontal="left" vertical="top" readingOrder="1"/>
    </xf>
    <xf numFmtId="0" fontId="1" fillId="4" borderId="9" xfId="0" applyFont="1" applyFill="1" applyBorder="1" applyAlignment="1">
      <alignment horizontal="left" vertical="top" readingOrder="1"/>
    </xf>
    <xf numFmtId="0" fontId="0" fillId="4" borderId="0" xfId="0" applyFill="1"/>
    <xf numFmtId="0" fontId="1" fillId="4" borderId="11" xfId="0" applyFont="1" applyFill="1" applyBorder="1" applyAlignment="1">
      <alignment horizontal="left" vertical="top" readingOrder="1"/>
    </xf>
    <xf numFmtId="0" fontId="1" fillId="4" borderId="12" xfId="0" applyFont="1" applyFill="1" applyBorder="1" applyAlignment="1">
      <alignment horizontal="left" vertical="top" readingOrder="1"/>
    </xf>
    <xf numFmtId="0" fontId="1" fillId="4" borderId="14" xfId="0" applyFont="1" applyFill="1" applyBorder="1" applyAlignment="1">
      <alignment horizontal="left" vertical="top" readingOrder="1"/>
    </xf>
    <xf numFmtId="0" fontId="1" fillId="4" borderId="15" xfId="0" applyFont="1" applyFill="1" applyBorder="1" applyAlignment="1">
      <alignment horizontal="left" vertical="top" readingOrder="1"/>
    </xf>
    <xf numFmtId="0" fontId="1" fillId="4" borderId="17" xfId="0" applyFont="1" applyFill="1" applyBorder="1" applyAlignment="1">
      <alignment horizontal="left" vertical="top" readingOrder="1"/>
    </xf>
    <xf numFmtId="0" fontId="1" fillId="4" borderId="11" xfId="0" applyFont="1" applyFill="1" applyBorder="1" applyAlignment="1">
      <alignment horizontal="left" vertical="top" wrapText="1" readingOrder="1"/>
    </xf>
    <xf numFmtId="0" fontId="1" fillId="4" borderId="18" xfId="0" applyFont="1" applyFill="1" applyBorder="1" applyAlignment="1">
      <alignment horizontal="left" vertical="top" wrapText="1" readingOrder="1"/>
    </xf>
    <xf numFmtId="0" fontId="1" fillId="4" borderId="17" xfId="0" applyFont="1" applyFill="1" applyBorder="1" applyAlignment="1">
      <alignment horizontal="left" vertical="top" wrapText="1" readingOrder="1"/>
    </xf>
    <xf numFmtId="0" fontId="1" fillId="4" borderId="15" xfId="0" applyFont="1" applyFill="1" applyBorder="1" applyAlignment="1">
      <alignment horizontal="left" vertical="top" wrapText="1" readingOrder="1"/>
    </xf>
    <xf numFmtId="0" fontId="0" fillId="4" borderId="0" xfId="0" applyFill="1" applyAlignment="1">
      <alignment horizontal="left" vertical="top"/>
    </xf>
    <xf numFmtId="0" fontId="1" fillId="4" borderId="2" xfId="0" applyFont="1" applyFill="1" applyBorder="1" applyAlignment="1">
      <alignment horizontal="left" vertical="top" wrapText="1" readingOrder="1"/>
    </xf>
    <xf numFmtId="0" fontId="1" fillId="4" borderId="4" xfId="0" applyFont="1" applyFill="1" applyBorder="1" applyAlignment="1">
      <alignment horizontal="left" vertical="top" wrapText="1" readingOrder="1"/>
    </xf>
    <xf numFmtId="0" fontId="2" fillId="4" borderId="20" xfId="0" applyFont="1" applyFill="1" applyBorder="1" applyAlignment="1">
      <alignment horizontal="left" vertical="top" readingOrder="1"/>
    </xf>
    <xf numFmtId="0" fontId="2" fillId="4" borderId="21" xfId="0" applyFont="1" applyFill="1" applyBorder="1" applyAlignment="1">
      <alignment horizontal="left" vertical="top" readingOrder="1"/>
    </xf>
    <xf numFmtId="0" fontId="2" fillId="4" borderId="22" xfId="0" applyFont="1" applyFill="1" applyBorder="1" applyAlignment="1">
      <alignment horizontal="left" vertical="top" readingOrder="1"/>
    </xf>
    <xf numFmtId="0" fontId="1" fillId="5" borderId="16" xfId="0" applyFont="1" applyFill="1" applyBorder="1" applyAlignment="1">
      <alignment horizontal="left" vertical="top" readingOrder="1"/>
    </xf>
    <xf numFmtId="0" fontId="3" fillId="5" borderId="0" xfId="0" applyFont="1" applyFill="1" applyAlignment="1">
      <alignment wrapText="1"/>
    </xf>
    <xf numFmtId="0" fontId="4" fillId="2" borderId="16" xfId="0" applyFont="1" applyFill="1" applyBorder="1" applyAlignment="1">
      <alignment horizontal="left" vertical="top" wrapText="1" readingOrder="1"/>
    </xf>
    <xf numFmtId="0" fontId="0" fillId="5" borderId="0" xfId="0" applyFill="1" applyAlignment="1">
      <alignment horizontal="left" vertical="top" wrapText="1"/>
    </xf>
    <xf numFmtId="0" fontId="1" fillId="7" borderId="16" xfId="0" applyFont="1" applyFill="1" applyBorder="1" applyAlignment="1">
      <alignment horizontal="left" vertical="top" wrapText="1" readingOrder="1"/>
    </xf>
    <xf numFmtId="0" fontId="0" fillId="5" borderId="0" xfId="0" applyFill="1" applyAlignment="1">
      <alignment vertical="top" wrapText="1"/>
    </xf>
    <xf numFmtId="0" fontId="0" fillId="3" borderId="0" xfId="0" applyFill="1" applyAlignment="1">
      <alignment horizontal="left" vertical="top" wrapText="1"/>
    </xf>
    <xf numFmtId="0" fontId="6" fillId="4" borderId="17" xfId="0" applyFont="1" applyFill="1" applyBorder="1" applyAlignment="1">
      <alignment horizontal="left" vertical="top" readingOrder="1"/>
    </xf>
    <xf numFmtId="0" fontId="0" fillId="0" borderId="25" xfId="0" applyBorder="1"/>
    <xf numFmtId="0" fontId="0" fillId="0" borderId="26" xfId="0" applyBorder="1"/>
    <xf numFmtId="0" fontId="1" fillId="0" borderId="0" xfId="0" applyFont="1" applyAlignment="1">
      <alignment horizontal="left" vertical="top" wrapText="1" readingOrder="1"/>
    </xf>
    <xf numFmtId="0" fontId="1" fillId="0" borderId="28" xfId="0" applyFont="1" applyBorder="1" applyAlignment="1">
      <alignment horizontal="left" vertical="top" readingOrder="1"/>
    </xf>
    <xf numFmtId="0" fontId="1" fillId="4" borderId="0" xfId="0" applyFont="1" applyFill="1" applyAlignment="1">
      <alignment horizontal="left" vertical="top" wrapText="1" readingOrder="1"/>
    </xf>
    <xf numFmtId="0" fontId="1" fillId="0" borderId="0" xfId="0" applyFont="1" applyAlignment="1">
      <alignment horizontal="left" vertical="top" readingOrder="1"/>
    </xf>
    <xf numFmtId="0" fontId="1" fillId="4" borderId="28" xfId="0" applyFont="1" applyFill="1" applyBorder="1" applyAlignment="1">
      <alignment horizontal="left" vertical="top" readingOrder="1"/>
    </xf>
    <xf numFmtId="0" fontId="1" fillId="0" borderId="29" xfId="0" applyFont="1" applyBorder="1" applyAlignment="1">
      <alignment horizontal="left" vertical="top" wrapText="1" readingOrder="1"/>
    </xf>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23" xfId="0" applyBorder="1"/>
    <xf numFmtId="0" fontId="0" fillId="8" borderId="0" xfId="0" applyFill="1"/>
    <xf numFmtId="0" fontId="1" fillId="3" borderId="0" xfId="0" applyFont="1" applyFill="1" applyAlignment="1">
      <alignment horizontal="left" vertical="top" wrapText="1" readingOrder="1"/>
    </xf>
    <xf numFmtId="0" fontId="0" fillId="0" borderId="35" xfId="0" applyBorder="1"/>
    <xf numFmtId="0" fontId="0" fillId="4" borderId="30" xfId="0" applyFill="1" applyBorder="1"/>
    <xf numFmtId="0" fontId="2" fillId="0" borderId="20" xfId="0" applyFont="1" applyBorder="1" applyAlignment="1">
      <alignment horizontal="left" vertical="top" readingOrder="1"/>
    </xf>
    <xf numFmtId="0" fontId="2" fillId="0" borderId="21" xfId="0" applyFont="1" applyBorder="1" applyAlignment="1">
      <alignment horizontal="left" vertical="top" readingOrder="1"/>
    </xf>
    <xf numFmtId="0" fontId="2" fillId="0" borderId="22" xfId="0" applyFont="1" applyBorder="1" applyAlignment="1">
      <alignment horizontal="left" vertical="top" readingOrder="1"/>
    </xf>
    <xf numFmtId="0" fontId="2" fillId="0" borderId="10" xfId="0" applyFont="1" applyBorder="1" applyAlignment="1">
      <alignment horizontal="left" vertical="top" readingOrder="1"/>
    </xf>
    <xf numFmtId="0" fontId="2" fillId="0" borderId="9" xfId="0" applyFont="1" applyBorder="1" applyAlignment="1">
      <alignment horizontal="left" vertical="top" readingOrder="1"/>
    </xf>
    <xf numFmtId="0" fontId="2" fillId="0" borderId="19" xfId="0" applyFont="1" applyBorder="1" applyAlignment="1">
      <alignment horizontal="left" vertical="top" readingOrder="1"/>
    </xf>
    <xf numFmtId="0" fontId="2" fillId="4" borderId="20" xfId="0" applyFont="1" applyFill="1" applyBorder="1" applyAlignment="1">
      <alignment horizontal="left" vertical="top" readingOrder="1"/>
    </xf>
    <xf numFmtId="0" fontId="2" fillId="4" borderId="21" xfId="0" applyFont="1" applyFill="1" applyBorder="1" applyAlignment="1">
      <alignment horizontal="left" vertical="top" readingOrder="1"/>
    </xf>
    <xf numFmtId="0" fontId="2" fillId="4" borderId="22" xfId="0" applyFont="1" applyFill="1" applyBorder="1" applyAlignment="1">
      <alignment horizontal="left" vertical="top" readingOrder="1"/>
    </xf>
    <xf numFmtId="0" fontId="2" fillId="4" borderId="10" xfId="0" applyFont="1" applyFill="1" applyBorder="1" applyAlignment="1">
      <alignment horizontal="left" vertical="top" readingOrder="1"/>
    </xf>
    <xf numFmtId="0" fontId="2" fillId="4" borderId="9" xfId="0" applyFont="1" applyFill="1" applyBorder="1" applyAlignment="1">
      <alignment horizontal="left" vertical="top" readingOrder="1"/>
    </xf>
    <xf numFmtId="0" fontId="2" fillId="4" borderId="19" xfId="0" applyFont="1" applyFill="1" applyBorder="1" applyAlignment="1">
      <alignment horizontal="left" vertical="top" readingOrder="1"/>
    </xf>
    <xf numFmtId="0" fontId="0" fillId="0" borderId="23" xfId="0" applyBorder="1" applyAlignment="1">
      <alignment horizontal="center"/>
    </xf>
    <xf numFmtId="0" fontId="0" fillId="0" borderId="24" xfId="0" applyBorder="1" applyAlignment="1">
      <alignment horizontal="center"/>
    </xf>
    <xf numFmtId="0" fontId="0" fillId="0" borderId="27" xfId="0" applyBorder="1" applyAlignment="1">
      <alignment horizontal="center"/>
    </xf>
  </cellXfs>
  <cellStyles count="1">
    <cellStyle name="Normal" xfId="0" builtinId="0"/>
  </cellStyles>
  <dxfs count="0"/>
  <tableStyles count="0" defaultTableStyle="TableStyleMedium2" defaultPivotStyle="PivotStyleMedium9"/>
  <colors>
    <mruColors>
      <color rgb="FF8CFF4A"/>
      <color rgb="FFACFF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70"/>
  <sheetViews>
    <sheetView tabSelected="1" workbookViewId="0">
      <pane ySplit="1" topLeftCell="A34" activePane="bottomLeft" state="frozen"/>
      <selection pane="bottomLeft" activeCell="U37" sqref="U37"/>
    </sheetView>
  </sheetViews>
  <sheetFormatPr defaultRowHeight="13.9"/>
  <cols>
    <col min="1" max="1" width="11.28515625" bestFit="1" customWidth="1"/>
    <col min="2" max="2" width="10.7109375" bestFit="1" customWidth="1"/>
    <col min="3" max="3" width="5.85546875" bestFit="1" customWidth="1"/>
    <col min="4" max="4" width="6.28515625" bestFit="1" customWidth="1"/>
    <col min="5" max="5" width="24.28515625" customWidth="1"/>
    <col min="6" max="6" width="13.140625" customWidth="1"/>
    <col min="7" max="7" width="27.28515625" customWidth="1"/>
    <col min="8" max="8" width="11.140625" customWidth="1"/>
    <col min="9" max="9" width="23.140625" customWidth="1"/>
    <col min="10" max="10" width="15.7109375" customWidth="1"/>
    <col min="11" max="11" width="35" customWidth="1"/>
    <col min="12" max="12" width="22.42578125" customWidth="1"/>
    <col min="13" max="13" width="41.42578125" customWidth="1"/>
    <col min="14" max="14" width="16.7109375" customWidth="1"/>
    <col min="15" max="15" width="28.28515625" customWidth="1"/>
    <col min="16" max="16" width="21.28515625" customWidth="1"/>
    <col min="17" max="17" width="23.85546875" customWidth="1"/>
    <col min="18" max="18" width="14.5703125" customWidth="1"/>
    <col min="20" max="20" width="9.28515625" bestFit="1" customWidth="1"/>
  </cols>
  <sheetData>
    <row r="1" spans="1:20">
      <c r="A1" s="1" t="s">
        <v>0</v>
      </c>
      <c r="B1" s="2" t="s">
        <v>1</v>
      </c>
      <c r="C1" s="3" t="s">
        <v>2</v>
      </c>
      <c r="D1" s="4" t="s">
        <v>3</v>
      </c>
      <c r="E1" s="5"/>
      <c r="F1" s="2"/>
      <c r="G1" s="2"/>
      <c r="H1" s="2"/>
      <c r="I1" s="2"/>
      <c r="J1" s="2"/>
      <c r="K1" s="2"/>
      <c r="L1" s="2"/>
      <c r="M1" s="2"/>
      <c r="N1" s="2"/>
      <c r="O1" s="2"/>
      <c r="P1" s="2"/>
      <c r="Q1" s="2"/>
      <c r="R1" s="2"/>
      <c r="S1" s="2"/>
      <c r="T1" s="4"/>
    </row>
    <row r="2" spans="1:20">
      <c r="A2" s="6"/>
      <c r="B2" s="7"/>
      <c r="C2" s="8"/>
      <c r="D2" s="9"/>
      <c r="E2" s="90" t="s">
        <v>4</v>
      </c>
      <c r="F2" s="90"/>
      <c r="G2" s="90"/>
      <c r="H2" s="90"/>
      <c r="I2" s="90"/>
      <c r="J2" s="90"/>
      <c r="K2" s="90"/>
      <c r="L2" s="90"/>
      <c r="M2" s="90"/>
      <c r="N2" s="90"/>
      <c r="O2" s="90"/>
      <c r="P2" s="90"/>
      <c r="Q2" s="90"/>
      <c r="R2" s="90"/>
      <c r="S2" s="90"/>
      <c r="T2" s="91"/>
    </row>
    <row r="3" spans="1:20">
      <c r="A3" s="10"/>
      <c r="B3" s="11"/>
      <c r="C3" s="12"/>
      <c r="D3" s="13"/>
      <c r="E3" s="14" t="s">
        <v>5</v>
      </c>
      <c r="F3" s="15" t="s">
        <v>6</v>
      </c>
      <c r="G3" s="15" t="s">
        <v>7</v>
      </c>
      <c r="H3" s="15" t="s">
        <v>6</v>
      </c>
      <c r="I3" s="15" t="s">
        <v>8</v>
      </c>
      <c r="J3" s="15" t="s">
        <v>6</v>
      </c>
      <c r="K3" s="15" t="s">
        <v>9</v>
      </c>
      <c r="L3" s="15" t="s">
        <v>6</v>
      </c>
      <c r="M3" s="15" t="s">
        <v>10</v>
      </c>
      <c r="N3" s="15" t="s">
        <v>6</v>
      </c>
      <c r="O3" s="15" t="s">
        <v>11</v>
      </c>
      <c r="P3" s="15" t="s">
        <v>6</v>
      </c>
      <c r="Q3" s="15" t="s">
        <v>12</v>
      </c>
      <c r="R3" s="15" t="s">
        <v>6</v>
      </c>
      <c r="S3" s="15" t="s">
        <v>13</v>
      </c>
      <c r="T3" s="16" t="s">
        <v>6</v>
      </c>
    </row>
    <row r="4" spans="1:20" ht="198">
      <c r="A4" s="17" t="s">
        <v>14</v>
      </c>
      <c r="B4" s="18">
        <v>3</v>
      </c>
      <c r="C4" s="19">
        <v>1</v>
      </c>
      <c r="D4" s="20">
        <v>1</v>
      </c>
      <c r="E4" s="21" t="s">
        <v>15</v>
      </c>
      <c r="F4" s="26" t="s">
        <v>16</v>
      </c>
      <c r="G4" s="18" t="s">
        <v>17</v>
      </c>
      <c r="H4" s="27"/>
      <c r="I4" s="18" t="s">
        <v>18</v>
      </c>
      <c r="J4" s="27" t="s">
        <v>19</v>
      </c>
      <c r="K4" s="18" t="s">
        <v>20</v>
      </c>
      <c r="L4" s="27" t="s">
        <v>19</v>
      </c>
      <c r="M4" s="18" t="s">
        <v>21</v>
      </c>
      <c r="N4" s="27" t="s">
        <v>19</v>
      </c>
      <c r="O4" s="18" t="s">
        <v>22</v>
      </c>
      <c r="P4" s="27" t="s">
        <v>19</v>
      </c>
      <c r="Q4" s="18" t="s">
        <v>23</v>
      </c>
      <c r="R4" s="28" t="s">
        <v>24</v>
      </c>
      <c r="S4" s="18"/>
      <c r="T4" s="16"/>
    </row>
    <row r="5" spans="1:20">
      <c r="A5" s="22"/>
      <c r="B5" s="22"/>
      <c r="C5" s="22"/>
      <c r="D5" s="22"/>
      <c r="E5" s="92" t="s">
        <v>4</v>
      </c>
      <c r="F5" s="90"/>
      <c r="G5" s="90"/>
      <c r="H5" s="90"/>
      <c r="I5" s="90"/>
      <c r="J5" s="90"/>
      <c r="K5" s="90"/>
      <c r="L5" s="90"/>
      <c r="M5" s="90"/>
      <c r="N5" s="90"/>
      <c r="O5" s="90"/>
      <c r="P5" s="90"/>
      <c r="Q5" s="90"/>
      <c r="R5" s="90"/>
      <c r="S5" s="90"/>
      <c r="T5" s="91"/>
    </row>
    <row r="6" spans="1:20">
      <c r="A6" s="22"/>
      <c r="B6" s="22"/>
      <c r="C6" s="22"/>
      <c r="D6" s="22"/>
      <c r="E6" s="10" t="s">
        <v>5</v>
      </c>
      <c r="F6" s="15" t="s">
        <v>6</v>
      </c>
      <c r="G6" s="15" t="s">
        <v>7</v>
      </c>
      <c r="H6" s="15" t="s">
        <v>6</v>
      </c>
      <c r="I6" s="15" t="s">
        <v>8</v>
      </c>
      <c r="J6" s="15" t="s">
        <v>6</v>
      </c>
      <c r="K6" s="15" t="s">
        <v>9</v>
      </c>
      <c r="L6" s="15" t="s">
        <v>6</v>
      </c>
      <c r="M6" s="15" t="s">
        <v>10</v>
      </c>
      <c r="N6" s="15" t="s">
        <v>6</v>
      </c>
      <c r="O6" s="15" t="s">
        <v>11</v>
      </c>
      <c r="P6" s="15" t="s">
        <v>6</v>
      </c>
      <c r="Q6" s="15" t="s">
        <v>12</v>
      </c>
      <c r="R6" s="15" t="s">
        <v>6</v>
      </c>
      <c r="S6" s="15" t="s">
        <v>13</v>
      </c>
      <c r="T6" s="16" t="s">
        <v>6</v>
      </c>
    </row>
    <row r="7" spans="1:20" ht="263.25" customHeight="1">
      <c r="A7" s="23" t="s">
        <v>14</v>
      </c>
      <c r="B7" s="24">
        <v>3</v>
      </c>
      <c r="C7" s="24">
        <v>1</v>
      </c>
      <c r="D7" s="25">
        <v>5</v>
      </c>
      <c r="E7" s="17" t="s">
        <v>25</v>
      </c>
      <c r="F7" s="26" t="s">
        <v>16</v>
      </c>
      <c r="G7" s="18" t="s">
        <v>26</v>
      </c>
      <c r="H7" s="27"/>
      <c r="I7" s="18" t="s">
        <v>27</v>
      </c>
      <c r="J7" s="27" t="s">
        <v>19</v>
      </c>
      <c r="K7" s="18" t="s">
        <v>28</v>
      </c>
      <c r="L7" s="27" t="s">
        <v>19</v>
      </c>
      <c r="M7" s="18" t="s">
        <v>29</v>
      </c>
      <c r="N7" s="27" t="s">
        <v>19</v>
      </c>
      <c r="O7" s="18" t="s">
        <v>30</v>
      </c>
      <c r="P7" s="27" t="s">
        <v>19</v>
      </c>
      <c r="Q7" s="18" t="s">
        <v>31</v>
      </c>
      <c r="R7" s="26" t="s">
        <v>32</v>
      </c>
      <c r="S7" s="18"/>
      <c r="T7" s="16"/>
    </row>
    <row r="8" spans="1:20">
      <c r="A8" s="22"/>
      <c r="B8" s="22"/>
      <c r="C8" s="22"/>
      <c r="D8" s="22"/>
      <c r="E8" s="87" t="s">
        <v>4</v>
      </c>
      <c r="F8" s="88"/>
      <c r="G8" s="88"/>
      <c r="H8" s="88"/>
      <c r="I8" s="88"/>
      <c r="J8" s="88"/>
      <c r="K8" s="88"/>
      <c r="L8" s="88"/>
      <c r="M8" s="88"/>
      <c r="N8" s="88"/>
      <c r="O8" s="88"/>
      <c r="P8" s="88"/>
      <c r="Q8" s="88"/>
      <c r="R8" s="88"/>
      <c r="S8" s="88"/>
      <c r="T8" s="89"/>
    </row>
    <row r="9" spans="1:20">
      <c r="A9" s="22"/>
      <c r="B9" s="22"/>
      <c r="C9" s="22"/>
      <c r="D9" s="22"/>
      <c r="E9" s="10" t="s">
        <v>5</v>
      </c>
      <c r="F9" s="15" t="s">
        <v>6</v>
      </c>
      <c r="G9" s="15" t="s">
        <v>7</v>
      </c>
      <c r="H9" s="15" t="s">
        <v>6</v>
      </c>
      <c r="I9" s="15" t="s">
        <v>8</v>
      </c>
      <c r="J9" s="15" t="s">
        <v>6</v>
      </c>
      <c r="K9" s="15" t="s">
        <v>9</v>
      </c>
      <c r="L9" s="15" t="s">
        <v>6</v>
      </c>
      <c r="M9" s="15" t="s">
        <v>10</v>
      </c>
      <c r="N9" s="15" t="s">
        <v>6</v>
      </c>
      <c r="O9" s="15" t="s">
        <v>11</v>
      </c>
      <c r="P9" s="15" t="s">
        <v>6</v>
      </c>
      <c r="Q9" s="15" t="s">
        <v>12</v>
      </c>
      <c r="R9" s="15" t="s">
        <v>6</v>
      </c>
      <c r="S9" s="15" t="s">
        <v>13</v>
      </c>
      <c r="T9" s="16" t="s">
        <v>6</v>
      </c>
    </row>
    <row r="10" spans="1:20" ht="228" customHeight="1">
      <c r="A10" s="23" t="s">
        <v>14</v>
      </c>
      <c r="B10" s="24">
        <v>3</v>
      </c>
      <c r="C10" s="24">
        <v>1</v>
      </c>
      <c r="D10" s="25">
        <v>6</v>
      </c>
      <c r="E10" s="17" t="s">
        <v>33</v>
      </c>
      <c r="F10" s="26" t="s">
        <v>16</v>
      </c>
      <c r="G10" s="18" t="s">
        <v>34</v>
      </c>
      <c r="H10" s="27"/>
      <c r="I10" s="18" t="s">
        <v>27</v>
      </c>
      <c r="J10" s="27"/>
      <c r="K10" s="18" t="s">
        <v>35</v>
      </c>
      <c r="L10" s="27" t="s">
        <v>19</v>
      </c>
      <c r="M10" s="18" t="s">
        <v>36</v>
      </c>
      <c r="N10" s="26" t="s">
        <v>37</v>
      </c>
      <c r="O10" s="18" t="s">
        <v>38</v>
      </c>
      <c r="P10" s="27"/>
      <c r="Q10" s="18" t="s">
        <v>39</v>
      </c>
      <c r="R10" s="27"/>
      <c r="S10" s="18"/>
      <c r="T10" s="16"/>
    </row>
    <row r="11" spans="1:20">
      <c r="A11" s="22"/>
      <c r="B11" s="22"/>
      <c r="C11" s="22"/>
      <c r="D11" s="22"/>
      <c r="E11" s="87" t="s">
        <v>4</v>
      </c>
      <c r="F11" s="88"/>
      <c r="G11" s="88"/>
      <c r="H11" s="88"/>
      <c r="I11" s="88"/>
      <c r="J11" s="88"/>
      <c r="K11" s="88"/>
      <c r="L11" s="88"/>
      <c r="M11" s="88"/>
      <c r="N11" s="88"/>
      <c r="O11" s="88"/>
      <c r="P11" s="88"/>
      <c r="Q11" s="88"/>
      <c r="R11" s="88"/>
      <c r="S11" s="88"/>
      <c r="T11" s="89"/>
    </row>
    <row r="12" spans="1:20">
      <c r="A12" s="22"/>
      <c r="B12" s="22"/>
      <c r="C12" s="22"/>
      <c r="D12" s="22"/>
      <c r="E12" s="10" t="s">
        <v>5</v>
      </c>
      <c r="F12" s="15" t="s">
        <v>6</v>
      </c>
      <c r="G12" s="15" t="s">
        <v>7</v>
      </c>
      <c r="H12" s="15" t="s">
        <v>6</v>
      </c>
      <c r="I12" s="15" t="s">
        <v>8</v>
      </c>
      <c r="J12" s="15" t="s">
        <v>6</v>
      </c>
      <c r="K12" s="15" t="s">
        <v>9</v>
      </c>
      <c r="L12" s="15" t="s">
        <v>6</v>
      </c>
      <c r="M12" s="15" t="s">
        <v>10</v>
      </c>
      <c r="N12" s="15" t="s">
        <v>6</v>
      </c>
      <c r="O12" s="15" t="s">
        <v>11</v>
      </c>
      <c r="P12" s="15" t="s">
        <v>6</v>
      </c>
      <c r="Q12" s="15" t="s">
        <v>12</v>
      </c>
      <c r="R12" s="15" t="s">
        <v>6</v>
      </c>
      <c r="S12" s="15" t="s">
        <v>13</v>
      </c>
      <c r="T12" s="16" t="s">
        <v>6</v>
      </c>
    </row>
    <row r="13" spans="1:20" ht="194.25" customHeight="1">
      <c r="A13" s="23" t="s">
        <v>14</v>
      </c>
      <c r="B13" s="24">
        <v>3</v>
      </c>
      <c r="C13" s="24">
        <v>1</v>
      </c>
      <c r="D13" s="25">
        <v>7</v>
      </c>
      <c r="E13" s="17" t="s">
        <v>40</v>
      </c>
      <c r="F13" s="27"/>
      <c r="G13" s="18" t="s">
        <v>41</v>
      </c>
      <c r="H13" s="27"/>
      <c r="I13" s="18" t="s">
        <v>42</v>
      </c>
      <c r="J13" s="34" t="s">
        <v>43</v>
      </c>
      <c r="K13" s="18" t="s">
        <v>44</v>
      </c>
      <c r="L13" s="26" t="s">
        <v>45</v>
      </c>
      <c r="M13" s="18" t="s">
        <v>46</v>
      </c>
      <c r="N13" s="26" t="s">
        <v>47</v>
      </c>
      <c r="O13" s="18" t="s">
        <v>48</v>
      </c>
      <c r="P13" s="27"/>
      <c r="Q13" s="18" t="s">
        <v>49</v>
      </c>
      <c r="R13" s="26" t="s">
        <v>50</v>
      </c>
      <c r="S13" s="18"/>
      <c r="T13" s="16"/>
    </row>
    <row r="14" spans="1:20">
      <c r="A14" s="22"/>
      <c r="B14" s="22"/>
      <c r="C14" s="22"/>
      <c r="D14" s="22"/>
      <c r="E14" s="87" t="s">
        <v>4</v>
      </c>
      <c r="F14" s="88"/>
      <c r="G14" s="88"/>
      <c r="H14" s="88"/>
      <c r="I14" s="88"/>
      <c r="J14" s="88"/>
      <c r="K14" s="88"/>
      <c r="L14" s="88"/>
      <c r="M14" s="88"/>
      <c r="N14" s="88"/>
      <c r="O14" s="88"/>
      <c r="P14" s="88"/>
      <c r="Q14" s="88"/>
      <c r="R14" s="88"/>
      <c r="S14" s="88"/>
      <c r="T14" s="89"/>
    </row>
    <row r="15" spans="1:20">
      <c r="A15" s="22"/>
      <c r="B15" s="22"/>
      <c r="C15" s="22"/>
      <c r="D15" s="22"/>
      <c r="E15" s="10" t="s">
        <v>5</v>
      </c>
      <c r="F15" s="15" t="s">
        <v>6</v>
      </c>
      <c r="G15" s="15" t="s">
        <v>7</v>
      </c>
      <c r="H15" s="15" t="s">
        <v>6</v>
      </c>
      <c r="I15" s="15" t="s">
        <v>8</v>
      </c>
      <c r="J15" s="15" t="s">
        <v>6</v>
      </c>
      <c r="K15" s="15" t="s">
        <v>9</v>
      </c>
      <c r="L15" s="15" t="s">
        <v>6</v>
      </c>
      <c r="M15" s="15" t="s">
        <v>10</v>
      </c>
      <c r="N15" s="15" t="s">
        <v>6</v>
      </c>
      <c r="O15" s="15" t="s">
        <v>11</v>
      </c>
      <c r="P15" s="15" t="s">
        <v>6</v>
      </c>
      <c r="Q15" s="15" t="s">
        <v>12</v>
      </c>
      <c r="R15" s="15" t="s">
        <v>6</v>
      </c>
      <c r="S15" s="15" t="s">
        <v>13</v>
      </c>
      <c r="T15" s="16" t="s">
        <v>6</v>
      </c>
    </row>
    <row r="16" spans="1:20" ht="187.5" customHeight="1">
      <c r="A16" s="23" t="s">
        <v>14</v>
      </c>
      <c r="B16" s="24">
        <v>3</v>
      </c>
      <c r="C16" s="24">
        <v>1</v>
      </c>
      <c r="D16" s="25">
        <v>8</v>
      </c>
      <c r="E16" s="17" t="s">
        <v>51</v>
      </c>
      <c r="F16" s="26" t="s">
        <v>52</v>
      </c>
      <c r="G16" s="18" t="s">
        <v>53</v>
      </c>
      <c r="H16" s="27"/>
      <c r="I16" s="18" t="s">
        <v>27</v>
      </c>
      <c r="J16" s="27"/>
      <c r="K16" s="18" t="s">
        <v>54</v>
      </c>
      <c r="L16" s="26" t="s">
        <v>55</v>
      </c>
      <c r="M16" s="18" t="s">
        <v>56</v>
      </c>
      <c r="N16" s="26" t="s">
        <v>57</v>
      </c>
      <c r="O16" s="18" t="s">
        <v>58</v>
      </c>
      <c r="P16" s="27"/>
      <c r="Q16" s="18" t="s">
        <v>59</v>
      </c>
      <c r="R16" s="26" t="s">
        <v>60</v>
      </c>
      <c r="S16" s="18"/>
      <c r="T16" s="16"/>
    </row>
    <row r="17" spans="1:20">
      <c r="A17" s="22"/>
      <c r="B17" s="22"/>
      <c r="C17" s="22"/>
      <c r="D17" s="22"/>
      <c r="E17" s="87" t="s">
        <v>4</v>
      </c>
      <c r="F17" s="88"/>
      <c r="G17" s="88"/>
      <c r="H17" s="88"/>
      <c r="I17" s="88"/>
      <c r="J17" s="88"/>
      <c r="K17" s="88"/>
      <c r="L17" s="88"/>
      <c r="M17" s="88"/>
      <c r="N17" s="88"/>
      <c r="O17" s="88"/>
      <c r="P17" s="88"/>
      <c r="Q17" s="88"/>
      <c r="R17" s="88"/>
      <c r="S17" s="88"/>
      <c r="T17" s="89"/>
    </row>
    <row r="18" spans="1:20">
      <c r="A18" s="22"/>
      <c r="B18" s="22"/>
      <c r="C18" s="22"/>
      <c r="D18" s="22"/>
      <c r="E18" s="10" t="s">
        <v>5</v>
      </c>
      <c r="F18" s="15" t="s">
        <v>6</v>
      </c>
      <c r="G18" s="15" t="s">
        <v>7</v>
      </c>
      <c r="H18" s="15" t="s">
        <v>6</v>
      </c>
      <c r="I18" s="15" t="s">
        <v>8</v>
      </c>
      <c r="J18" s="15" t="s">
        <v>6</v>
      </c>
      <c r="K18" s="15" t="s">
        <v>9</v>
      </c>
      <c r="L18" s="15" t="s">
        <v>6</v>
      </c>
      <c r="M18" s="15" t="s">
        <v>10</v>
      </c>
      <c r="N18" s="15" t="s">
        <v>6</v>
      </c>
      <c r="O18" s="15" t="s">
        <v>11</v>
      </c>
      <c r="P18" s="15" t="s">
        <v>6</v>
      </c>
      <c r="Q18" s="15" t="s">
        <v>12</v>
      </c>
      <c r="R18" s="15" t="s">
        <v>6</v>
      </c>
      <c r="S18" s="15" t="s">
        <v>13</v>
      </c>
      <c r="T18" s="16" t="s">
        <v>6</v>
      </c>
    </row>
    <row r="19" spans="1:20" ht="222" customHeight="1">
      <c r="A19" s="23" t="s">
        <v>14</v>
      </c>
      <c r="B19" s="24">
        <v>3</v>
      </c>
      <c r="C19" s="24">
        <v>1</v>
      </c>
      <c r="D19" s="25">
        <v>9</v>
      </c>
      <c r="E19" s="17" t="s">
        <v>61</v>
      </c>
      <c r="F19" s="26" t="s">
        <v>62</v>
      </c>
      <c r="G19" s="18" t="s">
        <v>63</v>
      </c>
      <c r="H19" s="27"/>
      <c r="I19" s="18" t="s">
        <v>64</v>
      </c>
      <c r="J19" s="34" t="s">
        <v>65</v>
      </c>
      <c r="K19" s="18" t="s">
        <v>66</v>
      </c>
      <c r="L19" s="26" t="s">
        <v>67</v>
      </c>
      <c r="M19" s="18" t="s">
        <v>68</v>
      </c>
      <c r="N19" s="26" t="s">
        <v>69</v>
      </c>
      <c r="O19" s="18" t="s">
        <v>70</v>
      </c>
      <c r="P19" s="27"/>
      <c r="Q19" s="18" t="s">
        <v>71</v>
      </c>
      <c r="R19" s="26" t="s">
        <v>72</v>
      </c>
      <c r="S19" s="18"/>
      <c r="T19" s="16"/>
    </row>
    <row r="20" spans="1:20">
      <c r="A20" s="22"/>
      <c r="B20" s="22"/>
      <c r="C20" s="22"/>
      <c r="D20" s="22"/>
      <c r="E20" s="87" t="s">
        <v>73</v>
      </c>
      <c r="F20" s="88"/>
      <c r="G20" s="88"/>
      <c r="H20" s="88"/>
      <c r="I20" s="88"/>
      <c r="J20" s="88"/>
      <c r="K20" s="88"/>
      <c r="L20" s="88"/>
      <c r="M20" s="88"/>
      <c r="N20" s="88"/>
      <c r="O20" s="88"/>
      <c r="P20" s="88"/>
      <c r="Q20" s="88"/>
      <c r="R20" s="88"/>
      <c r="S20" s="88"/>
      <c r="T20" s="89"/>
    </row>
    <row r="21" spans="1:20">
      <c r="A21" s="22"/>
      <c r="B21" s="22"/>
      <c r="C21" s="22"/>
      <c r="D21" s="22"/>
      <c r="E21" s="10" t="s">
        <v>5</v>
      </c>
      <c r="F21" s="15" t="s">
        <v>6</v>
      </c>
      <c r="G21" s="15" t="s">
        <v>7</v>
      </c>
      <c r="H21" s="15" t="s">
        <v>6</v>
      </c>
      <c r="I21" s="15" t="s">
        <v>8</v>
      </c>
      <c r="J21" s="15" t="s">
        <v>6</v>
      </c>
      <c r="K21" s="15" t="s">
        <v>9</v>
      </c>
      <c r="L21" s="15" t="s">
        <v>6</v>
      </c>
      <c r="M21" s="15" t="s">
        <v>10</v>
      </c>
      <c r="N21" s="15" t="s">
        <v>6</v>
      </c>
      <c r="O21" s="15" t="s">
        <v>11</v>
      </c>
      <c r="P21" s="15" t="s">
        <v>6</v>
      </c>
      <c r="Q21" s="15" t="s">
        <v>12</v>
      </c>
      <c r="R21" s="15" t="s">
        <v>6</v>
      </c>
      <c r="S21" s="15" t="s">
        <v>13</v>
      </c>
      <c r="T21" s="16" t="s">
        <v>6</v>
      </c>
    </row>
    <row r="22" spans="1:20" ht="409.6">
      <c r="A22" s="23" t="s">
        <v>14</v>
      </c>
      <c r="B22" s="24">
        <v>3</v>
      </c>
      <c r="C22" s="24">
        <v>2</v>
      </c>
      <c r="D22" s="25">
        <v>1</v>
      </c>
      <c r="E22" s="17" t="s">
        <v>74</v>
      </c>
      <c r="F22" s="26" t="s">
        <v>19</v>
      </c>
      <c r="G22" s="18" t="s">
        <v>75</v>
      </c>
      <c r="H22" s="34" t="s">
        <v>76</v>
      </c>
      <c r="I22" s="18" t="s">
        <v>77</v>
      </c>
      <c r="J22" s="26" t="s">
        <v>78</v>
      </c>
      <c r="K22" s="18" t="s">
        <v>79</v>
      </c>
      <c r="L22" s="26" t="s">
        <v>19</v>
      </c>
      <c r="M22" s="18" t="s">
        <v>80</v>
      </c>
      <c r="N22" s="26" t="s">
        <v>19</v>
      </c>
      <c r="O22" s="18" t="s">
        <v>81</v>
      </c>
      <c r="P22" s="34" t="s">
        <v>82</v>
      </c>
      <c r="Q22" s="18" t="s">
        <v>83</v>
      </c>
      <c r="R22" s="26" t="s">
        <v>84</v>
      </c>
      <c r="S22" s="18"/>
      <c r="T22" s="16"/>
    </row>
    <row r="23" spans="1:20">
      <c r="A23" s="22"/>
      <c r="B23" s="22"/>
      <c r="C23" s="22"/>
      <c r="D23" s="22"/>
      <c r="E23" s="31" t="s">
        <v>73</v>
      </c>
      <c r="F23" s="32"/>
      <c r="H23" s="32"/>
      <c r="I23" s="32"/>
      <c r="J23" s="32"/>
      <c r="K23" s="32"/>
      <c r="L23" s="32"/>
      <c r="M23" s="32"/>
      <c r="N23" s="32"/>
      <c r="P23" s="32"/>
      <c r="Q23" s="32"/>
      <c r="R23" s="32"/>
      <c r="S23" s="32"/>
      <c r="T23" s="33"/>
    </row>
    <row r="24" spans="1:20">
      <c r="A24" s="22"/>
      <c r="B24" s="22"/>
      <c r="C24" s="22"/>
      <c r="D24" s="22"/>
      <c r="E24" s="10" t="s">
        <v>5</v>
      </c>
      <c r="F24" s="15" t="s">
        <v>6</v>
      </c>
      <c r="G24" s="15" t="s">
        <v>7</v>
      </c>
      <c r="H24" s="15" t="s">
        <v>6</v>
      </c>
      <c r="I24" s="15" t="s">
        <v>8</v>
      </c>
      <c r="J24" s="15" t="s">
        <v>6</v>
      </c>
      <c r="K24" s="15" t="s">
        <v>9</v>
      </c>
      <c r="L24" s="15" t="s">
        <v>6</v>
      </c>
      <c r="M24" s="15" t="s">
        <v>10</v>
      </c>
      <c r="N24" s="15" t="s">
        <v>6</v>
      </c>
      <c r="O24" s="15" t="s">
        <v>11</v>
      </c>
      <c r="P24" s="15" t="s">
        <v>6</v>
      </c>
      <c r="Q24" s="15" t="s">
        <v>12</v>
      </c>
      <c r="R24" s="15" t="s">
        <v>6</v>
      </c>
      <c r="S24" s="15" t="s">
        <v>13</v>
      </c>
      <c r="T24" s="16" t="s">
        <v>6</v>
      </c>
    </row>
    <row r="25" spans="1:20" ht="210" customHeight="1">
      <c r="A25" s="23" t="s">
        <v>14</v>
      </c>
      <c r="B25" s="24">
        <v>3</v>
      </c>
      <c r="C25" s="24">
        <v>2</v>
      </c>
      <c r="D25" s="25">
        <v>10</v>
      </c>
      <c r="E25" s="18" t="s">
        <v>85</v>
      </c>
      <c r="F25" s="26" t="s">
        <v>19</v>
      </c>
      <c r="G25" s="18" t="s">
        <v>86</v>
      </c>
      <c r="H25" s="26" t="s">
        <v>19</v>
      </c>
      <c r="I25" s="18" t="s">
        <v>87</v>
      </c>
      <c r="J25" s="26" t="s">
        <v>78</v>
      </c>
      <c r="K25" s="18" t="s">
        <v>88</v>
      </c>
      <c r="L25" s="26" t="s">
        <v>19</v>
      </c>
      <c r="M25" s="18" t="s">
        <v>89</v>
      </c>
      <c r="N25" s="26" t="s">
        <v>19</v>
      </c>
      <c r="O25" s="18" t="s">
        <v>90</v>
      </c>
      <c r="P25" s="26" t="s">
        <v>19</v>
      </c>
      <c r="Q25" s="18" t="s">
        <v>91</v>
      </c>
      <c r="R25" s="34" t="s">
        <v>92</v>
      </c>
      <c r="S25" s="18"/>
      <c r="T25" s="16"/>
    </row>
    <row r="26" spans="1:20">
      <c r="A26" s="22"/>
      <c r="B26" s="22"/>
      <c r="C26" s="22"/>
      <c r="D26" s="22"/>
      <c r="E26" s="87" t="s">
        <v>73</v>
      </c>
      <c r="F26" s="88"/>
      <c r="G26" s="88"/>
      <c r="H26" s="88"/>
      <c r="I26" s="88"/>
      <c r="J26" s="88"/>
      <c r="K26" s="88"/>
      <c r="L26" s="88"/>
      <c r="M26" s="88"/>
      <c r="N26" s="88"/>
      <c r="O26" s="88"/>
      <c r="P26" s="88"/>
      <c r="Q26" s="88"/>
      <c r="R26" s="88"/>
      <c r="S26" s="88"/>
      <c r="T26" s="89"/>
    </row>
    <row r="27" spans="1:20">
      <c r="A27" s="22"/>
      <c r="B27" s="22"/>
      <c r="C27" s="22"/>
      <c r="D27" s="22"/>
      <c r="E27" s="10" t="s">
        <v>5</v>
      </c>
      <c r="F27" s="15" t="s">
        <v>6</v>
      </c>
      <c r="G27" s="15" t="s">
        <v>7</v>
      </c>
      <c r="H27" s="15" t="s">
        <v>6</v>
      </c>
      <c r="I27" s="15" t="s">
        <v>8</v>
      </c>
      <c r="J27" s="15" t="s">
        <v>6</v>
      </c>
      <c r="K27" s="15" t="s">
        <v>9</v>
      </c>
      <c r="L27" s="15" t="s">
        <v>6</v>
      </c>
      <c r="M27" s="15" t="s">
        <v>10</v>
      </c>
      <c r="N27" s="15" t="s">
        <v>6</v>
      </c>
      <c r="O27" s="15" t="s">
        <v>11</v>
      </c>
      <c r="P27" s="15" t="s">
        <v>6</v>
      </c>
      <c r="Q27" s="15" t="s">
        <v>12</v>
      </c>
      <c r="R27" s="15" t="s">
        <v>6</v>
      </c>
      <c r="S27" s="15" t="s">
        <v>13</v>
      </c>
      <c r="T27" s="16" t="s">
        <v>6</v>
      </c>
    </row>
    <row r="28" spans="1:20" ht="184.9">
      <c r="A28" s="23" t="s">
        <v>14</v>
      </c>
      <c r="B28" s="24">
        <v>3</v>
      </c>
      <c r="C28" s="24">
        <v>2</v>
      </c>
      <c r="D28" s="25">
        <v>11</v>
      </c>
      <c r="E28" s="18" t="s">
        <v>93</v>
      </c>
      <c r="F28" s="26" t="s">
        <v>19</v>
      </c>
      <c r="G28" s="18" t="s">
        <v>86</v>
      </c>
      <c r="H28" s="26" t="s">
        <v>19</v>
      </c>
      <c r="I28" s="18" t="s">
        <v>77</v>
      </c>
      <c r="J28" s="26" t="s">
        <v>19</v>
      </c>
      <c r="K28" s="18" t="s">
        <v>94</v>
      </c>
      <c r="L28" s="26" t="s">
        <v>19</v>
      </c>
      <c r="M28" s="18" t="s">
        <v>95</v>
      </c>
      <c r="N28" s="26" t="s">
        <v>19</v>
      </c>
      <c r="O28" s="18" t="s">
        <v>96</v>
      </c>
      <c r="P28" s="26" t="s">
        <v>19</v>
      </c>
      <c r="Q28" s="18" t="s">
        <v>97</v>
      </c>
      <c r="R28" s="26" t="s">
        <v>19</v>
      </c>
      <c r="S28" s="18"/>
      <c r="T28" s="16"/>
    </row>
    <row r="29" spans="1:20">
      <c r="A29" s="22"/>
      <c r="B29" s="22"/>
      <c r="C29" s="22"/>
      <c r="D29" s="22"/>
      <c r="E29" s="87" t="s">
        <v>73</v>
      </c>
      <c r="F29" s="88"/>
      <c r="G29" s="88"/>
      <c r="H29" s="88"/>
      <c r="I29" s="88"/>
      <c r="J29" s="88"/>
      <c r="K29" s="88"/>
      <c r="L29" s="88"/>
      <c r="M29" s="88"/>
      <c r="N29" s="88"/>
      <c r="O29" s="88"/>
      <c r="P29" s="88"/>
      <c r="Q29" s="88"/>
      <c r="R29" s="88"/>
      <c r="S29" s="88"/>
      <c r="T29" s="89"/>
    </row>
    <row r="30" spans="1:20">
      <c r="A30" s="22"/>
      <c r="B30" s="22"/>
      <c r="C30" s="22"/>
      <c r="D30" s="22"/>
      <c r="E30" s="10" t="s">
        <v>5</v>
      </c>
      <c r="F30" s="15" t="s">
        <v>6</v>
      </c>
      <c r="G30" s="15" t="s">
        <v>7</v>
      </c>
      <c r="H30" s="15" t="s">
        <v>6</v>
      </c>
      <c r="I30" s="15" t="s">
        <v>8</v>
      </c>
      <c r="J30" s="15" t="s">
        <v>6</v>
      </c>
      <c r="K30" s="15" t="s">
        <v>9</v>
      </c>
      <c r="L30" s="15" t="s">
        <v>6</v>
      </c>
      <c r="M30" s="15" t="s">
        <v>10</v>
      </c>
      <c r="N30" s="15" t="s">
        <v>6</v>
      </c>
      <c r="O30" s="15" t="s">
        <v>11</v>
      </c>
      <c r="P30" s="15" t="s">
        <v>6</v>
      </c>
      <c r="Q30" s="15" t="s">
        <v>12</v>
      </c>
      <c r="R30" s="15" t="s">
        <v>6</v>
      </c>
      <c r="S30" s="15" t="s">
        <v>13</v>
      </c>
      <c r="T30" s="16" t="s">
        <v>6</v>
      </c>
    </row>
    <row r="31" spans="1:20" ht="260.25" customHeight="1">
      <c r="A31" s="23" t="s">
        <v>14</v>
      </c>
      <c r="B31" s="24">
        <v>3</v>
      </c>
      <c r="C31" s="24">
        <v>2</v>
      </c>
      <c r="D31" s="25">
        <v>12</v>
      </c>
      <c r="E31" s="18" t="s">
        <v>98</v>
      </c>
      <c r="F31" s="26" t="s">
        <v>19</v>
      </c>
      <c r="G31" s="18" t="s">
        <v>86</v>
      </c>
      <c r="H31" s="26" t="s">
        <v>19</v>
      </c>
      <c r="I31" s="18" t="s">
        <v>99</v>
      </c>
      <c r="J31" s="26" t="s">
        <v>19</v>
      </c>
      <c r="K31" s="18" t="s">
        <v>100</v>
      </c>
      <c r="L31" s="26" t="s">
        <v>19</v>
      </c>
      <c r="M31" s="18" t="s">
        <v>101</v>
      </c>
      <c r="N31" s="26" t="s">
        <v>102</v>
      </c>
      <c r="O31" s="18" t="s">
        <v>103</v>
      </c>
      <c r="P31" s="26" t="s">
        <v>19</v>
      </c>
      <c r="Q31" s="18" t="s">
        <v>104</v>
      </c>
      <c r="R31" s="26" t="s">
        <v>19</v>
      </c>
      <c r="S31" s="18"/>
      <c r="T31" s="16"/>
    </row>
    <row r="32" spans="1:20">
      <c r="A32" s="22"/>
      <c r="B32" s="22"/>
      <c r="C32" s="22"/>
      <c r="D32" s="22"/>
      <c r="E32" s="87" t="s">
        <v>73</v>
      </c>
      <c r="F32" s="88"/>
      <c r="G32" s="88"/>
      <c r="H32" s="88"/>
      <c r="I32" s="88"/>
      <c r="J32" s="88"/>
      <c r="K32" s="88"/>
      <c r="L32" s="88"/>
      <c r="M32" s="88"/>
      <c r="N32" s="88"/>
      <c r="O32" s="88"/>
      <c r="P32" s="88"/>
      <c r="Q32" s="88"/>
      <c r="R32" s="88"/>
      <c r="S32" s="88"/>
      <c r="T32" s="89"/>
    </row>
    <row r="33" spans="1:20">
      <c r="A33" s="22"/>
      <c r="B33" s="22"/>
      <c r="C33" s="22"/>
      <c r="D33" s="22"/>
      <c r="E33" s="10" t="s">
        <v>5</v>
      </c>
      <c r="F33" s="15" t="s">
        <v>6</v>
      </c>
      <c r="G33" s="15" t="s">
        <v>7</v>
      </c>
      <c r="H33" s="15" t="s">
        <v>6</v>
      </c>
      <c r="I33" s="15" t="s">
        <v>8</v>
      </c>
      <c r="J33" s="15" t="s">
        <v>6</v>
      </c>
      <c r="K33" s="15" t="s">
        <v>9</v>
      </c>
      <c r="L33" s="15" t="s">
        <v>6</v>
      </c>
      <c r="M33" s="15" t="s">
        <v>10</v>
      </c>
      <c r="N33" s="15" t="s">
        <v>6</v>
      </c>
      <c r="O33" s="15" t="s">
        <v>11</v>
      </c>
      <c r="P33" s="15" t="s">
        <v>6</v>
      </c>
      <c r="Q33" s="15" t="s">
        <v>12</v>
      </c>
      <c r="R33" s="15" t="s">
        <v>6</v>
      </c>
      <c r="S33" s="15" t="s">
        <v>13</v>
      </c>
      <c r="T33" s="16" t="s">
        <v>6</v>
      </c>
    </row>
    <row r="34" spans="1:20" ht="228.75" customHeight="1">
      <c r="A34" s="23" t="s">
        <v>14</v>
      </c>
      <c r="B34" s="24">
        <v>3</v>
      </c>
      <c r="C34" s="24">
        <v>2</v>
      </c>
      <c r="D34" s="25">
        <v>13</v>
      </c>
      <c r="E34" s="18" t="s">
        <v>105</v>
      </c>
      <c r="F34" s="34" t="s">
        <v>106</v>
      </c>
      <c r="G34" s="18" t="s">
        <v>86</v>
      </c>
      <c r="H34" s="26" t="s">
        <v>102</v>
      </c>
      <c r="I34" s="18" t="s">
        <v>107</v>
      </c>
      <c r="J34" s="26" t="s">
        <v>19</v>
      </c>
      <c r="K34" s="18" t="s">
        <v>108</v>
      </c>
      <c r="L34" s="26" t="s">
        <v>19</v>
      </c>
      <c r="M34" s="18" t="s">
        <v>109</v>
      </c>
      <c r="N34" s="26" t="s">
        <v>19</v>
      </c>
      <c r="O34" s="18" t="s">
        <v>110</v>
      </c>
      <c r="P34" s="26" t="s">
        <v>111</v>
      </c>
      <c r="Q34" s="18" t="s">
        <v>112</v>
      </c>
      <c r="R34" s="34" t="s">
        <v>113</v>
      </c>
      <c r="S34" s="18"/>
      <c r="T34" s="16"/>
    </row>
    <row r="35" spans="1:20">
      <c r="A35" s="22"/>
      <c r="B35" s="22"/>
      <c r="C35" s="22"/>
      <c r="D35" s="22"/>
      <c r="E35" s="87" t="s">
        <v>73</v>
      </c>
      <c r="F35" s="88"/>
      <c r="G35" s="88"/>
      <c r="H35" s="88"/>
      <c r="I35" s="88"/>
      <c r="J35" s="88"/>
      <c r="K35" s="88"/>
      <c r="L35" s="88"/>
      <c r="M35" s="88"/>
      <c r="N35" s="88"/>
      <c r="O35" s="88"/>
      <c r="P35" s="88"/>
      <c r="Q35" s="88"/>
      <c r="R35" s="88"/>
      <c r="S35" s="88"/>
      <c r="T35" s="89"/>
    </row>
    <row r="36" spans="1:20">
      <c r="A36" s="22"/>
      <c r="B36" s="22"/>
      <c r="C36" s="22"/>
      <c r="D36" s="22"/>
      <c r="E36" s="10" t="s">
        <v>5</v>
      </c>
      <c r="F36" s="15" t="s">
        <v>6</v>
      </c>
      <c r="G36" s="15" t="s">
        <v>7</v>
      </c>
      <c r="H36" s="15" t="s">
        <v>6</v>
      </c>
      <c r="I36" s="15" t="s">
        <v>8</v>
      </c>
      <c r="J36" s="15" t="s">
        <v>6</v>
      </c>
      <c r="K36" s="15" t="s">
        <v>9</v>
      </c>
      <c r="L36" s="15" t="s">
        <v>6</v>
      </c>
      <c r="M36" s="15" t="s">
        <v>10</v>
      </c>
      <c r="N36" s="15" t="s">
        <v>6</v>
      </c>
      <c r="O36" s="15" t="s">
        <v>11</v>
      </c>
      <c r="P36" s="15" t="s">
        <v>6</v>
      </c>
      <c r="Q36" s="15" t="s">
        <v>12</v>
      </c>
      <c r="R36" s="15" t="s">
        <v>6</v>
      </c>
      <c r="S36" s="15" t="s">
        <v>13</v>
      </c>
      <c r="T36" s="16" t="s">
        <v>6</v>
      </c>
    </row>
    <row r="37" spans="1:20" ht="184.9">
      <c r="A37" s="23" t="s">
        <v>14</v>
      </c>
      <c r="B37" s="24">
        <v>3</v>
      </c>
      <c r="C37" s="24">
        <v>2</v>
      </c>
      <c r="D37" s="25">
        <v>14</v>
      </c>
      <c r="E37" s="18" t="s">
        <v>114</v>
      </c>
      <c r="F37" s="26" t="s">
        <v>19</v>
      </c>
      <c r="G37" s="18" t="s">
        <v>86</v>
      </c>
      <c r="H37" s="26" t="s">
        <v>19</v>
      </c>
      <c r="I37" s="18" t="s">
        <v>99</v>
      </c>
      <c r="J37" s="26" t="s">
        <v>102</v>
      </c>
      <c r="K37" s="18" t="s">
        <v>115</v>
      </c>
      <c r="L37" s="26" t="s">
        <v>19</v>
      </c>
      <c r="M37" s="18" t="s">
        <v>116</v>
      </c>
      <c r="N37" s="26" t="s">
        <v>19</v>
      </c>
      <c r="O37" s="18" t="s">
        <v>117</v>
      </c>
      <c r="P37" s="26" t="s">
        <v>118</v>
      </c>
      <c r="Q37" s="18" t="s">
        <v>119</v>
      </c>
      <c r="R37" s="26" t="s">
        <v>19</v>
      </c>
      <c r="S37" s="18"/>
      <c r="T37" s="16"/>
    </row>
    <row r="38" spans="1:20">
      <c r="A38" s="22"/>
      <c r="B38" s="22"/>
      <c r="C38" s="22"/>
      <c r="D38" s="22"/>
      <c r="E38" s="87" t="s">
        <v>120</v>
      </c>
      <c r="F38" s="88"/>
      <c r="G38" s="88"/>
      <c r="H38" s="88"/>
      <c r="I38" s="88"/>
      <c r="J38" s="88"/>
      <c r="K38" s="88"/>
      <c r="L38" s="88"/>
      <c r="M38" s="88"/>
      <c r="N38" s="88"/>
      <c r="O38" s="88"/>
      <c r="P38" s="88"/>
      <c r="Q38" s="88"/>
      <c r="R38" s="88"/>
      <c r="S38" s="88"/>
      <c r="T38" s="89"/>
    </row>
    <row r="39" spans="1:20">
      <c r="A39" s="22"/>
      <c r="B39" s="22"/>
      <c r="C39" s="22"/>
      <c r="D39" s="22"/>
      <c r="E39" s="10" t="s">
        <v>5</v>
      </c>
      <c r="F39" s="15" t="s">
        <v>6</v>
      </c>
      <c r="G39" s="15" t="s">
        <v>7</v>
      </c>
      <c r="H39" s="15" t="s">
        <v>6</v>
      </c>
      <c r="I39" s="15" t="s">
        <v>8</v>
      </c>
      <c r="J39" s="15" t="s">
        <v>6</v>
      </c>
      <c r="K39" s="15" t="s">
        <v>9</v>
      </c>
      <c r="L39" s="15" t="s">
        <v>6</v>
      </c>
      <c r="M39" s="15" t="s">
        <v>10</v>
      </c>
      <c r="N39" s="15" t="s">
        <v>6</v>
      </c>
      <c r="O39" s="15" t="s">
        <v>11</v>
      </c>
      <c r="P39" s="15" t="s">
        <v>6</v>
      </c>
      <c r="Q39" s="15" t="s">
        <v>12</v>
      </c>
      <c r="R39" s="15" t="s">
        <v>6</v>
      </c>
      <c r="S39" s="15" t="s">
        <v>13</v>
      </c>
      <c r="T39" s="16" t="s">
        <v>6</v>
      </c>
    </row>
    <row r="40" spans="1:20" ht="179.25" customHeight="1">
      <c r="A40" s="23" t="s">
        <v>14</v>
      </c>
      <c r="B40" s="24">
        <v>3</v>
      </c>
      <c r="C40" s="24">
        <v>3</v>
      </c>
      <c r="D40" s="25">
        <v>1</v>
      </c>
      <c r="E40" s="18" t="s">
        <v>121</v>
      </c>
      <c r="F40" s="26" t="s">
        <v>16</v>
      </c>
      <c r="G40" s="18" t="s">
        <v>122</v>
      </c>
      <c r="H40" s="26" t="s">
        <v>19</v>
      </c>
      <c r="I40" s="18" t="s">
        <v>123</v>
      </c>
      <c r="J40" s="26" t="s">
        <v>19</v>
      </c>
      <c r="K40" s="18" t="s">
        <v>124</v>
      </c>
      <c r="L40" s="26" t="s">
        <v>16</v>
      </c>
      <c r="M40" s="18" t="s">
        <v>125</v>
      </c>
      <c r="N40" s="36" t="s">
        <v>126</v>
      </c>
      <c r="O40" s="18" t="s">
        <v>127</v>
      </c>
      <c r="P40" s="26" t="s">
        <v>16</v>
      </c>
      <c r="Q40" s="18" t="s">
        <v>128</v>
      </c>
      <c r="R40" s="26" t="s">
        <v>19</v>
      </c>
      <c r="S40" s="18"/>
      <c r="T40" s="16"/>
    </row>
    <row r="41" spans="1:20">
      <c r="A41" s="22"/>
      <c r="B41" s="22"/>
      <c r="C41" s="22"/>
      <c r="D41" s="22"/>
      <c r="E41" s="87" t="s">
        <v>120</v>
      </c>
      <c r="F41" s="88"/>
      <c r="G41" s="88"/>
      <c r="H41" s="88"/>
      <c r="I41" s="88"/>
      <c r="J41" s="88"/>
      <c r="K41" s="88"/>
      <c r="L41" s="88"/>
      <c r="M41" s="88"/>
      <c r="N41" s="88"/>
      <c r="O41" s="88"/>
      <c r="P41" s="88"/>
      <c r="Q41" s="88"/>
      <c r="R41" s="88"/>
      <c r="S41" s="88"/>
      <c r="T41" s="89"/>
    </row>
    <row r="42" spans="1:20">
      <c r="A42" s="22"/>
      <c r="B42" s="22"/>
      <c r="C42" s="22"/>
      <c r="D42" s="22"/>
      <c r="E42" s="10" t="s">
        <v>5</v>
      </c>
      <c r="F42" s="15" t="s">
        <v>6</v>
      </c>
      <c r="G42" s="15" t="s">
        <v>7</v>
      </c>
      <c r="H42" s="15" t="s">
        <v>6</v>
      </c>
      <c r="I42" s="15" t="s">
        <v>8</v>
      </c>
      <c r="J42" s="15" t="s">
        <v>6</v>
      </c>
      <c r="K42" s="15" t="s">
        <v>9</v>
      </c>
      <c r="L42" s="15" t="s">
        <v>6</v>
      </c>
      <c r="M42" s="15" t="s">
        <v>10</v>
      </c>
      <c r="N42" s="15" t="s">
        <v>6</v>
      </c>
      <c r="O42" s="15" t="s">
        <v>11</v>
      </c>
      <c r="P42" s="15" t="s">
        <v>6</v>
      </c>
      <c r="Q42" s="15" t="s">
        <v>12</v>
      </c>
      <c r="R42" s="15" t="s">
        <v>6</v>
      </c>
      <c r="S42" s="15" t="s">
        <v>13</v>
      </c>
      <c r="T42" s="16" t="s">
        <v>6</v>
      </c>
    </row>
    <row r="43" spans="1:20" ht="184.9">
      <c r="A43" s="23" t="s">
        <v>14</v>
      </c>
      <c r="B43" s="24">
        <v>3</v>
      </c>
      <c r="C43" s="24">
        <v>3</v>
      </c>
      <c r="D43" s="25">
        <v>15</v>
      </c>
      <c r="E43" s="18" t="s">
        <v>129</v>
      </c>
      <c r="F43" s="26" t="s">
        <v>19</v>
      </c>
      <c r="G43" s="18" t="s">
        <v>130</v>
      </c>
      <c r="H43" s="26" t="s">
        <v>19</v>
      </c>
      <c r="I43" s="18" t="s">
        <v>131</v>
      </c>
      <c r="J43" s="26" t="s">
        <v>19</v>
      </c>
      <c r="K43" s="18" t="s">
        <v>132</v>
      </c>
      <c r="L43" s="26" t="s">
        <v>19</v>
      </c>
      <c r="M43" s="18" t="s">
        <v>133</v>
      </c>
      <c r="N43" s="26" t="s">
        <v>19</v>
      </c>
      <c r="O43" s="18" t="s">
        <v>134</v>
      </c>
      <c r="P43" s="26" t="s">
        <v>16</v>
      </c>
      <c r="Q43" s="18" t="s">
        <v>23</v>
      </c>
      <c r="R43" s="26" t="s">
        <v>19</v>
      </c>
      <c r="S43" s="18"/>
      <c r="T43" s="16"/>
    </row>
    <row r="44" spans="1:20">
      <c r="A44" s="22"/>
      <c r="B44" s="22"/>
      <c r="C44" s="22"/>
      <c r="D44" s="22"/>
      <c r="E44" s="87" t="s">
        <v>120</v>
      </c>
      <c r="F44" s="88"/>
      <c r="G44" s="88"/>
      <c r="H44" s="88"/>
      <c r="I44" s="88"/>
      <c r="J44" s="88"/>
      <c r="K44" s="88"/>
      <c r="L44" s="88"/>
      <c r="M44" s="88"/>
      <c r="N44" s="88"/>
      <c r="O44" s="88"/>
      <c r="P44" s="88"/>
      <c r="Q44" s="88"/>
      <c r="R44" s="88"/>
      <c r="S44" s="88"/>
      <c r="T44" s="89"/>
    </row>
    <row r="45" spans="1:20">
      <c r="A45" s="22"/>
      <c r="B45" s="22"/>
      <c r="C45" s="22"/>
      <c r="D45" s="22"/>
      <c r="E45" s="10" t="s">
        <v>5</v>
      </c>
      <c r="F45" s="15" t="s">
        <v>6</v>
      </c>
      <c r="G45" s="15" t="s">
        <v>7</v>
      </c>
      <c r="H45" s="15" t="s">
        <v>6</v>
      </c>
      <c r="I45" s="15" t="s">
        <v>8</v>
      </c>
      <c r="J45" s="15" t="s">
        <v>6</v>
      </c>
      <c r="K45" s="15" t="s">
        <v>9</v>
      </c>
      <c r="L45" s="15" t="s">
        <v>6</v>
      </c>
      <c r="M45" s="15" t="s">
        <v>10</v>
      </c>
      <c r="N45" s="15" t="s">
        <v>6</v>
      </c>
      <c r="O45" s="15" t="s">
        <v>11</v>
      </c>
      <c r="P45" s="15" t="s">
        <v>6</v>
      </c>
      <c r="Q45" s="15" t="s">
        <v>12</v>
      </c>
      <c r="R45" s="15" t="s">
        <v>6</v>
      </c>
      <c r="S45" s="15" t="s">
        <v>13</v>
      </c>
      <c r="T45" s="16" t="s">
        <v>6</v>
      </c>
    </row>
    <row r="46" spans="1:20" ht="177.75" customHeight="1">
      <c r="A46" s="23" t="s">
        <v>14</v>
      </c>
      <c r="B46" s="24">
        <v>3</v>
      </c>
      <c r="C46" s="24">
        <v>3</v>
      </c>
      <c r="D46" s="25">
        <v>16</v>
      </c>
      <c r="E46" s="18" t="s">
        <v>135</v>
      </c>
      <c r="F46" s="26" t="s">
        <v>19</v>
      </c>
      <c r="G46" s="18" t="s">
        <v>136</v>
      </c>
      <c r="H46" s="26" t="s">
        <v>19</v>
      </c>
      <c r="I46" s="18" t="s">
        <v>137</v>
      </c>
      <c r="J46" s="26" t="s">
        <v>19</v>
      </c>
      <c r="K46" s="18" t="s">
        <v>138</v>
      </c>
      <c r="L46" s="26" t="s">
        <v>19</v>
      </c>
      <c r="M46" s="18" t="s">
        <v>139</v>
      </c>
      <c r="N46" s="26" t="s">
        <v>19</v>
      </c>
      <c r="O46" s="18" t="s">
        <v>140</v>
      </c>
      <c r="P46" s="26" t="s">
        <v>16</v>
      </c>
      <c r="Q46" s="18" t="s">
        <v>141</v>
      </c>
      <c r="R46" s="38" t="s">
        <v>142</v>
      </c>
      <c r="S46" s="18"/>
      <c r="T46" s="16"/>
    </row>
    <row r="47" spans="1:20">
      <c r="A47" s="22"/>
      <c r="B47" s="22"/>
      <c r="C47" s="22"/>
      <c r="D47" s="22"/>
      <c r="E47" s="87" t="s">
        <v>120</v>
      </c>
      <c r="F47" s="88"/>
      <c r="G47" s="88"/>
      <c r="H47" s="88"/>
      <c r="I47" s="88"/>
      <c r="J47" s="88"/>
      <c r="K47" s="88"/>
      <c r="L47" s="88"/>
      <c r="M47" s="88"/>
      <c r="N47" s="88"/>
      <c r="O47" s="88"/>
      <c r="P47" s="88"/>
      <c r="Q47" s="88"/>
      <c r="R47" s="88"/>
      <c r="S47" s="88"/>
      <c r="T47" s="89"/>
    </row>
    <row r="48" spans="1:20">
      <c r="A48" s="22"/>
      <c r="B48" s="22"/>
      <c r="C48" s="22"/>
      <c r="D48" s="22"/>
      <c r="E48" s="10" t="s">
        <v>5</v>
      </c>
      <c r="F48" s="15" t="s">
        <v>6</v>
      </c>
      <c r="G48" s="15" t="s">
        <v>7</v>
      </c>
      <c r="H48" s="15" t="s">
        <v>6</v>
      </c>
      <c r="I48" s="15" t="s">
        <v>8</v>
      </c>
      <c r="J48" s="15" t="s">
        <v>6</v>
      </c>
      <c r="K48" s="15" t="s">
        <v>9</v>
      </c>
      <c r="L48" s="15" t="s">
        <v>6</v>
      </c>
      <c r="M48" s="15" t="s">
        <v>10</v>
      </c>
      <c r="N48" s="15" t="s">
        <v>6</v>
      </c>
      <c r="O48" s="15" t="s">
        <v>11</v>
      </c>
      <c r="P48" s="15" t="s">
        <v>6</v>
      </c>
      <c r="Q48" s="15" t="s">
        <v>12</v>
      </c>
      <c r="R48" s="15" t="s">
        <v>6</v>
      </c>
      <c r="S48" s="15" t="s">
        <v>13</v>
      </c>
      <c r="T48" s="16" t="s">
        <v>6</v>
      </c>
    </row>
    <row r="49" spans="1:20" ht="184.9">
      <c r="A49" s="23" t="s">
        <v>14</v>
      </c>
      <c r="B49" s="24">
        <v>3</v>
      </c>
      <c r="C49" s="24">
        <v>3</v>
      </c>
      <c r="D49" s="25">
        <v>17</v>
      </c>
      <c r="E49" s="18" t="s">
        <v>143</v>
      </c>
      <c r="F49" s="26" t="s">
        <v>19</v>
      </c>
      <c r="G49" s="18" t="s">
        <v>144</v>
      </c>
      <c r="H49" s="26" t="s">
        <v>19</v>
      </c>
      <c r="I49" s="18" t="s">
        <v>145</v>
      </c>
      <c r="J49" s="26" t="s">
        <v>19</v>
      </c>
      <c r="K49" s="18" t="s">
        <v>146</v>
      </c>
      <c r="L49" s="26" t="s">
        <v>19</v>
      </c>
      <c r="M49" s="18" t="s">
        <v>147</v>
      </c>
      <c r="N49" s="26" t="s">
        <v>19</v>
      </c>
      <c r="O49" s="18" t="s">
        <v>148</v>
      </c>
      <c r="P49" s="26" t="s">
        <v>16</v>
      </c>
      <c r="Q49" s="18" t="s">
        <v>149</v>
      </c>
      <c r="R49" s="38" t="s">
        <v>142</v>
      </c>
      <c r="S49" s="18"/>
      <c r="T49" s="16"/>
    </row>
    <row r="50" spans="1:20">
      <c r="A50" s="22"/>
      <c r="B50" s="22"/>
      <c r="C50" s="22"/>
      <c r="D50" s="22"/>
      <c r="E50" s="87" t="s">
        <v>120</v>
      </c>
      <c r="F50" s="88"/>
      <c r="G50" s="88"/>
      <c r="H50" s="88"/>
      <c r="I50" s="88"/>
      <c r="J50" s="88"/>
      <c r="K50" s="88"/>
      <c r="L50" s="88"/>
      <c r="M50" s="88"/>
      <c r="N50" s="88"/>
      <c r="O50" s="88"/>
      <c r="P50" s="88"/>
      <c r="Q50" s="88"/>
      <c r="R50" s="88"/>
      <c r="S50" s="88"/>
      <c r="T50" s="89"/>
    </row>
    <row r="51" spans="1:20">
      <c r="A51" s="22"/>
      <c r="B51" s="22"/>
      <c r="C51" s="22"/>
      <c r="D51" s="22"/>
      <c r="E51" s="10" t="s">
        <v>5</v>
      </c>
      <c r="F51" s="15" t="s">
        <v>6</v>
      </c>
      <c r="G51" s="15" t="s">
        <v>7</v>
      </c>
      <c r="H51" s="15" t="s">
        <v>6</v>
      </c>
      <c r="I51" s="15" t="s">
        <v>8</v>
      </c>
      <c r="J51" s="15" t="s">
        <v>6</v>
      </c>
      <c r="K51" s="15" t="s">
        <v>9</v>
      </c>
      <c r="L51" s="15" t="s">
        <v>6</v>
      </c>
      <c r="M51" s="15" t="s">
        <v>10</v>
      </c>
      <c r="N51" s="15" t="s">
        <v>6</v>
      </c>
      <c r="O51" s="15" t="s">
        <v>11</v>
      </c>
      <c r="P51" s="15" t="s">
        <v>6</v>
      </c>
      <c r="Q51" s="15" t="s">
        <v>12</v>
      </c>
      <c r="R51" s="15" t="s">
        <v>6</v>
      </c>
      <c r="S51" s="15" t="s">
        <v>13</v>
      </c>
      <c r="T51" s="16" t="s">
        <v>6</v>
      </c>
    </row>
    <row r="52" spans="1:20" ht="158.44999999999999">
      <c r="A52" s="23" t="s">
        <v>14</v>
      </c>
      <c r="B52" s="24">
        <v>3</v>
      </c>
      <c r="C52" s="24">
        <v>3</v>
      </c>
      <c r="D52" s="25">
        <v>18</v>
      </c>
      <c r="E52" s="18" t="s">
        <v>150</v>
      </c>
      <c r="F52" s="26" t="s">
        <v>19</v>
      </c>
      <c r="G52" s="18" t="s">
        <v>151</v>
      </c>
      <c r="H52" s="26" t="s">
        <v>19</v>
      </c>
      <c r="I52" s="18" t="s">
        <v>152</v>
      </c>
      <c r="J52" s="26" t="s">
        <v>19</v>
      </c>
      <c r="K52" s="18" t="s">
        <v>153</v>
      </c>
      <c r="L52" s="26" t="s">
        <v>19</v>
      </c>
      <c r="M52" s="18" t="s">
        <v>154</v>
      </c>
      <c r="N52" s="26" t="s">
        <v>19</v>
      </c>
      <c r="O52" s="18" t="s">
        <v>155</v>
      </c>
      <c r="P52" s="26" t="s">
        <v>16</v>
      </c>
      <c r="Q52" s="18" t="s">
        <v>128</v>
      </c>
      <c r="R52" s="26" t="s">
        <v>19</v>
      </c>
      <c r="S52" s="18"/>
      <c r="T52" s="16"/>
    </row>
    <row r="53" spans="1:20">
      <c r="A53" s="22"/>
      <c r="B53" s="22"/>
      <c r="C53" s="22"/>
      <c r="D53" s="22"/>
      <c r="E53" s="87" t="s">
        <v>120</v>
      </c>
      <c r="F53" s="88"/>
      <c r="G53" s="88"/>
      <c r="H53" s="88"/>
      <c r="I53" s="88"/>
      <c r="J53" s="88"/>
      <c r="K53" s="88"/>
      <c r="L53" s="88"/>
      <c r="M53" s="88"/>
      <c r="N53" s="88"/>
      <c r="O53" s="88"/>
      <c r="P53" s="88"/>
      <c r="Q53" s="88"/>
      <c r="R53" s="88"/>
      <c r="S53" s="88"/>
      <c r="T53" s="89"/>
    </row>
    <row r="54" spans="1:20">
      <c r="A54" s="22"/>
      <c r="B54" s="22"/>
      <c r="C54" s="22"/>
      <c r="D54" s="22"/>
      <c r="E54" s="10" t="s">
        <v>5</v>
      </c>
      <c r="F54" s="15" t="s">
        <v>6</v>
      </c>
      <c r="G54" s="15" t="s">
        <v>7</v>
      </c>
      <c r="H54" s="15" t="s">
        <v>6</v>
      </c>
      <c r="I54" s="15" t="s">
        <v>8</v>
      </c>
      <c r="J54" s="15" t="s">
        <v>6</v>
      </c>
      <c r="K54" s="15" t="s">
        <v>9</v>
      </c>
      <c r="L54" s="15" t="s">
        <v>6</v>
      </c>
      <c r="M54" s="15" t="s">
        <v>10</v>
      </c>
      <c r="N54" s="15" t="s">
        <v>6</v>
      </c>
      <c r="O54" s="15" t="s">
        <v>11</v>
      </c>
      <c r="P54" s="15" t="s">
        <v>6</v>
      </c>
      <c r="Q54" s="15" t="s">
        <v>12</v>
      </c>
      <c r="R54" s="15" t="s">
        <v>6</v>
      </c>
      <c r="S54" s="15" t="s">
        <v>13</v>
      </c>
      <c r="T54" s="16" t="s">
        <v>6</v>
      </c>
    </row>
    <row r="55" spans="1:20" ht="211.15">
      <c r="A55" s="23" t="s">
        <v>14</v>
      </c>
      <c r="B55" s="24">
        <v>3</v>
      </c>
      <c r="C55" s="24">
        <v>3</v>
      </c>
      <c r="D55" s="25">
        <v>19</v>
      </c>
      <c r="E55" s="18" t="s">
        <v>156</v>
      </c>
      <c r="F55" s="26" t="s">
        <v>19</v>
      </c>
      <c r="G55" s="18" t="s">
        <v>157</v>
      </c>
      <c r="H55" s="36" t="s">
        <v>158</v>
      </c>
      <c r="I55" s="18" t="s">
        <v>159</v>
      </c>
      <c r="J55" s="26" t="s">
        <v>19</v>
      </c>
      <c r="K55" s="18" t="s">
        <v>160</v>
      </c>
      <c r="L55" s="26" t="s">
        <v>19</v>
      </c>
      <c r="M55" s="18" t="s">
        <v>161</v>
      </c>
      <c r="N55" s="36"/>
      <c r="O55" s="18" t="s">
        <v>162</v>
      </c>
      <c r="P55" s="26" t="s">
        <v>16</v>
      </c>
      <c r="Q55" s="18" t="s">
        <v>163</v>
      </c>
      <c r="R55" s="38" t="s">
        <v>142</v>
      </c>
      <c r="S55" s="18"/>
      <c r="T55" s="16"/>
    </row>
    <row r="56" spans="1:20">
      <c r="A56" s="22"/>
      <c r="B56" s="22"/>
      <c r="C56" s="22"/>
      <c r="D56" s="22"/>
      <c r="E56" s="87" t="s">
        <v>164</v>
      </c>
      <c r="F56" s="88"/>
      <c r="G56" s="88"/>
      <c r="H56" s="88"/>
      <c r="I56" s="88"/>
      <c r="J56" s="88"/>
      <c r="K56" s="88"/>
      <c r="L56" s="88"/>
      <c r="M56" s="88"/>
      <c r="N56" s="88"/>
      <c r="O56" s="88"/>
      <c r="P56" s="88"/>
      <c r="Q56" s="88"/>
      <c r="R56" s="88"/>
      <c r="S56" s="88"/>
      <c r="T56" s="89"/>
    </row>
    <row r="57" spans="1:20">
      <c r="A57" s="22"/>
      <c r="B57" s="22"/>
      <c r="C57" s="22"/>
      <c r="D57" s="22"/>
      <c r="E57" s="10" t="s">
        <v>5</v>
      </c>
      <c r="F57" s="15" t="s">
        <v>6</v>
      </c>
      <c r="G57" s="15" t="s">
        <v>7</v>
      </c>
      <c r="H57" s="15" t="s">
        <v>6</v>
      </c>
      <c r="I57" s="15" t="s">
        <v>8</v>
      </c>
      <c r="J57" s="15" t="s">
        <v>6</v>
      </c>
      <c r="K57" s="15" t="s">
        <v>9</v>
      </c>
      <c r="L57" s="15" t="s">
        <v>6</v>
      </c>
      <c r="M57" s="15" t="s">
        <v>10</v>
      </c>
      <c r="N57" s="15" t="s">
        <v>6</v>
      </c>
      <c r="O57" s="15" t="s">
        <v>11</v>
      </c>
      <c r="P57" s="15" t="s">
        <v>6</v>
      </c>
      <c r="Q57" s="15" t="s">
        <v>12</v>
      </c>
      <c r="R57" s="15" t="s">
        <v>6</v>
      </c>
      <c r="S57" s="15" t="s">
        <v>13</v>
      </c>
      <c r="T57" s="16" t="s">
        <v>6</v>
      </c>
    </row>
    <row r="58" spans="1:20" ht="245.25" customHeight="1">
      <c r="A58" s="23" t="s">
        <v>14</v>
      </c>
      <c r="B58" s="24">
        <v>3</v>
      </c>
      <c r="C58" s="24">
        <v>4</v>
      </c>
      <c r="D58" s="25">
        <v>2</v>
      </c>
      <c r="E58" s="18" t="s">
        <v>165</v>
      </c>
      <c r="F58" s="26" t="s">
        <v>19</v>
      </c>
      <c r="G58" s="18" t="s">
        <v>166</v>
      </c>
      <c r="H58" s="26"/>
      <c r="I58" s="18" t="s">
        <v>167</v>
      </c>
      <c r="J58" s="26" t="s">
        <v>168</v>
      </c>
      <c r="K58" s="18" t="s">
        <v>169</v>
      </c>
      <c r="L58" s="26" t="s">
        <v>19</v>
      </c>
      <c r="M58" s="18" t="s">
        <v>170</v>
      </c>
      <c r="N58" s="26" t="s">
        <v>171</v>
      </c>
      <c r="O58" s="18" t="s">
        <v>172</v>
      </c>
      <c r="P58" s="26" t="s">
        <v>19</v>
      </c>
      <c r="Q58" s="18" t="s">
        <v>173</v>
      </c>
      <c r="R58" s="34" t="s">
        <v>174</v>
      </c>
      <c r="S58" s="18"/>
      <c r="T58" s="16"/>
    </row>
    <row r="59" spans="1:20" ht="16.5" customHeight="1">
      <c r="A59" s="71"/>
      <c r="B59" s="71"/>
      <c r="C59" s="71"/>
      <c r="D59" s="22"/>
      <c r="E59" s="87" t="s">
        <v>164</v>
      </c>
      <c r="F59" s="88"/>
      <c r="G59" s="88"/>
      <c r="H59" s="88"/>
      <c r="I59" s="88"/>
      <c r="J59" s="88"/>
      <c r="K59" s="88"/>
      <c r="L59" s="88"/>
      <c r="M59" s="88"/>
      <c r="N59" s="88"/>
      <c r="O59" s="88"/>
      <c r="P59" s="88"/>
      <c r="Q59" s="88"/>
      <c r="R59" s="88"/>
      <c r="S59" s="88"/>
      <c r="T59" s="89"/>
    </row>
    <row r="60" spans="1:20" ht="18" customHeight="1">
      <c r="A60" s="71"/>
      <c r="B60" s="71"/>
      <c r="C60" s="71"/>
      <c r="D60" s="22"/>
      <c r="E60" s="10" t="s">
        <v>5</v>
      </c>
      <c r="F60" s="15" t="s">
        <v>6</v>
      </c>
      <c r="G60" s="15" t="s">
        <v>7</v>
      </c>
      <c r="H60" s="15" t="s">
        <v>6</v>
      </c>
      <c r="I60" s="15" t="s">
        <v>8</v>
      </c>
      <c r="J60" s="15" t="s">
        <v>6</v>
      </c>
      <c r="K60" s="15" t="s">
        <v>9</v>
      </c>
      <c r="L60" s="15" t="s">
        <v>6</v>
      </c>
      <c r="M60" s="15" t="s">
        <v>10</v>
      </c>
      <c r="N60" s="15" t="s">
        <v>6</v>
      </c>
      <c r="O60" s="15" t="s">
        <v>11</v>
      </c>
      <c r="P60" s="15" t="s">
        <v>6</v>
      </c>
      <c r="Q60" s="15" t="s">
        <v>12</v>
      </c>
      <c r="R60" s="15" t="s">
        <v>6</v>
      </c>
      <c r="S60" s="15" t="s">
        <v>13</v>
      </c>
      <c r="T60" s="16" t="s">
        <v>6</v>
      </c>
    </row>
    <row r="61" spans="1:20" ht="224.45">
      <c r="A61" s="23" t="s">
        <v>14</v>
      </c>
      <c r="B61" s="24">
        <v>3</v>
      </c>
      <c r="C61" s="24">
        <v>4</v>
      </c>
      <c r="D61" s="25">
        <v>5</v>
      </c>
      <c r="E61" s="76" t="s">
        <v>175</v>
      </c>
      <c r="F61" s="84"/>
      <c r="G61" s="71" t="s">
        <v>176</v>
      </c>
      <c r="H61" s="27"/>
      <c r="I61" s="71" t="s">
        <v>177</v>
      </c>
      <c r="J61" s="84"/>
      <c r="K61" s="71" t="s">
        <v>178</v>
      </c>
      <c r="L61" s="27" t="s">
        <v>19</v>
      </c>
      <c r="M61" s="71" t="s">
        <v>179</v>
      </c>
      <c r="N61" s="27" t="s">
        <v>19</v>
      </c>
      <c r="O61" s="71" t="s">
        <v>180</v>
      </c>
      <c r="P61" s="27" t="s">
        <v>19</v>
      </c>
      <c r="Q61" s="71" t="s">
        <v>181</v>
      </c>
      <c r="R61" s="27" t="s">
        <v>182</v>
      </c>
      <c r="S61" s="74"/>
      <c r="T61" s="72"/>
    </row>
    <row r="62" spans="1:20">
      <c r="A62" s="22"/>
      <c r="B62" s="22"/>
      <c r="C62" s="22"/>
      <c r="D62" s="22"/>
      <c r="E62" s="87" t="s">
        <v>164</v>
      </c>
      <c r="F62" s="88"/>
      <c r="G62" s="88"/>
      <c r="H62" s="88"/>
      <c r="I62" s="88"/>
      <c r="J62" s="88"/>
      <c r="K62" s="88"/>
      <c r="L62" s="88"/>
      <c r="M62" s="88"/>
      <c r="N62" s="88"/>
      <c r="O62" s="88"/>
      <c r="P62" s="88"/>
      <c r="Q62" s="88"/>
      <c r="R62" s="88"/>
      <c r="S62" s="88"/>
      <c r="T62" s="89"/>
    </row>
    <row r="63" spans="1:20">
      <c r="A63" s="22"/>
      <c r="B63" s="22"/>
      <c r="C63" s="22"/>
      <c r="D63" s="22"/>
      <c r="E63" s="10" t="s">
        <v>5</v>
      </c>
      <c r="F63" s="15" t="s">
        <v>6</v>
      </c>
      <c r="G63" s="15" t="s">
        <v>7</v>
      </c>
      <c r="H63" s="15" t="s">
        <v>6</v>
      </c>
      <c r="I63" s="15" t="s">
        <v>8</v>
      </c>
      <c r="J63" s="15" t="s">
        <v>6</v>
      </c>
      <c r="K63" s="15" t="s">
        <v>9</v>
      </c>
      <c r="L63" s="15" t="s">
        <v>6</v>
      </c>
      <c r="M63" s="15" t="s">
        <v>10</v>
      </c>
      <c r="N63" s="15" t="s">
        <v>6</v>
      </c>
      <c r="O63" s="15" t="s">
        <v>11</v>
      </c>
      <c r="P63" s="15" t="s">
        <v>6</v>
      </c>
      <c r="Q63" s="15" t="s">
        <v>12</v>
      </c>
      <c r="R63" s="15" t="s">
        <v>6</v>
      </c>
      <c r="S63" s="15" t="s">
        <v>13</v>
      </c>
      <c r="T63" s="16" t="s">
        <v>6</v>
      </c>
    </row>
    <row r="64" spans="1:20" ht="223.5" customHeight="1">
      <c r="A64" s="23" t="s">
        <v>14</v>
      </c>
      <c r="B64" s="24">
        <v>3</v>
      </c>
      <c r="C64" s="24">
        <v>4</v>
      </c>
      <c r="D64" s="25">
        <v>10</v>
      </c>
      <c r="E64" s="18" t="s">
        <v>183</v>
      </c>
      <c r="F64" s="26" t="s">
        <v>19</v>
      </c>
      <c r="G64" s="18" t="s">
        <v>184</v>
      </c>
      <c r="H64" s="26" t="s">
        <v>102</v>
      </c>
      <c r="I64" s="18" t="s">
        <v>177</v>
      </c>
      <c r="J64" s="26" t="s">
        <v>168</v>
      </c>
      <c r="K64" s="18" t="s">
        <v>185</v>
      </c>
      <c r="L64" s="26" t="s">
        <v>19</v>
      </c>
      <c r="M64" s="18" t="s">
        <v>186</v>
      </c>
      <c r="N64" s="26" t="s">
        <v>19</v>
      </c>
      <c r="O64" s="18" t="s">
        <v>187</v>
      </c>
      <c r="P64" s="26" t="s">
        <v>188</v>
      </c>
      <c r="Q64" s="18" t="s">
        <v>189</v>
      </c>
      <c r="R64" s="35" t="s">
        <v>190</v>
      </c>
      <c r="S64" s="18" t="s">
        <v>191</v>
      </c>
      <c r="T64" s="16"/>
    </row>
    <row r="65" spans="1:43">
      <c r="A65" s="22"/>
      <c r="B65" s="22"/>
      <c r="C65" s="22"/>
      <c r="D65" s="22"/>
      <c r="E65" s="87" t="s">
        <v>164</v>
      </c>
      <c r="F65" s="88"/>
      <c r="G65" s="88"/>
      <c r="H65" s="88"/>
      <c r="I65" s="88"/>
      <c r="J65" s="88"/>
      <c r="K65" s="88"/>
      <c r="L65" s="88"/>
      <c r="M65" s="88"/>
      <c r="N65" s="88"/>
      <c r="O65" s="88"/>
      <c r="P65" s="88"/>
      <c r="Q65" s="88"/>
      <c r="R65" s="88"/>
      <c r="S65" s="88"/>
      <c r="T65" s="89"/>
    </row>
    <row r="66" spans="1:43">
      <c r="A66" s="22"/>
      <c r="B66" s="22"/>
      <c r="C66" s="22"/>
      <c r="D66" s="22"/>
      <c r="E66" s="10" t="s">
        <v>5</v>
      </c>
      <c r="F66" s="15" t="s">
        <v>6</v>
      </c>
      <c r="G66" s="15" t="s">
        <v>7</v>
      </c>
      <c r="H66" s="15" t="s">
        <v>6</v>
      </c>
      <c r="I66" s="15" t="s">
        <v>8</v>
      </c>
      <c r="J66" s="15" t="s">
        <v>6</v>
      </c>
      <c r="K66" s="15" t="s">
        <v>9</v>
      </c>
      <c r="L66" s="15" t="s">
        <v>6</v>
      </c>
      <c r="M66" s="15" t="s">
        <v>10</v>
      </c>
      <c r="N66" s="15" t="s">
        <v>6</v>
      </c>
      <c r="O66" s="15" t="s">
        <v>11</v>
      </c>
      <c r="P66" s="15" t="s">
        <v>6</v>
      </c>
      <c r="Q66" s="15" t="s">
        <v>12</v>
      </c>
      <c r="R66" s="15" t="s">
        <v>6</v>
      </c>
      <c r="S66" s="15" t="s">
        <v>13</v>
      </c>
      <c r="T66" s="16" t="s">
        <v>6</v>
      </c>
    </row>
    <row r="67" spans="1:43" ht="225" customHeight="1">
      <c r="A67" s="23" t="s">
        <v>14</v>
      </c>
      <c r="B67" s="24">
        <v>3</v>
      </c>
      <c r="C67" s="24">
        <v>4</v>
      </c>
      <c r="D67" s="25">
        <v>15</v>
      </c>
      <c r="E67" s="18" t="s">
        <v>192</v>
      </c>
      <c r="F67" s="26" t="s">
        <v>19</v>
      </c>
      <c r="G67" s="18" t="s">
        <v>193</v>
      </c>
      <c r="H67" s="26" t="s">
        <v>102</v>
      </c>
      <c r="I67" s="18" t="s">
        <v>177</v>
      </c>
      <c r="J67" s="26" t="s">
        <v>194</v>
      </c>
      <c r="K67" s="18" t="s">
        <v>195</v>
      </c>
      <c r="L67" s="26" t="s">
        <v>19</v>
      </c>
      <c r="M67" s="18" t="s">
        <v>196</v>
      </c>
      <c r="N67" s="26" t="s">
        <v>197</v>
      </c>
      <c r="O67" s="18" t="s">
        <v>198</v>
      </c>
      <c r="P67" s="26" t="s">
        <v>102</v>
      </c>
      <c r="Q67" s="18" t="s">
        <v>199</v>
      </c>
      <c r="R67" s="34" t="s">
        <v>200</v>
      </c>
      <c r="S67" s="18"/>
      <c r="T67" s="16"/>
    </row>
    <row r="68" spans="1:43">
      <c r="A68" s="22"/>
      <c r="B68" s="22"/>
      <c r="C68" s="22"/>
      <c r="D68" s="22"/>
      <c r="E68" s="87" t="s">
        <v>164</v>
      </c>
      <c r="F68" s="88"/>
      <c r="G68" s="88"/>
      <c r="H68" s="88"/>
      <c r="I68" s="88"/>
      <c r="J68" s="88"/>
      <c r="K68" s="88"/>
      <c r="L68" s="88"/>
      <c r="M68" s="88"/>
      <c r="N68" s="88"/>
      <c r="O68" s="88"/>
      <c r="P68" s="88"/>
      <c r="Q68" s="88"/>
      <c r="R68" s="88"/>
      <c r="S68" s="88"/>
      <c r="T68" s="89"/>
    </row>
    <row r="69" spans="1:43">
      <c r="A69" s="22"/>
      <c r="B69" s="22"/>
      <c r="C69" s="22"/>
      <c r="D69" s="22"/>
      <c r="E69" s="10" t="s">
        <v>5</v>
      </c>
      <c r="F69" s="15" t="s">
        <v>6</v>
      </c>
      <c r="G69" s="15" t="s">
        <v>7</v>
      </c>
      <c r="H69" s="15" t="s">
        <v>6</v>
      </c>
      <c r="I69" s="15" t="s">
        <v>8</v>
      </c>
      <c r="J69" s="15" t="s">
        <v>6</v>
      </c>
      <c r="K69" s="15" t="s">
        <v>9</v>
      </c>
      <c r="L69" s="15" t="s">
        <v>6</v>
      </c>
      <c r="M69" s="15" t="s">
        <v>10</v>
      </c>
      <c r="N69" s="15" t="s">
        <v>6</v>
      </c>
      <c r="O69" s="15" t="s">
        <v>11</v>
      </c>
      <c r="P69" s="15" t="s">
        <v>6</v>
      </c>
      <c r="Q69" s="15" t="s">
        <v>12</v>
      </c>
      <c r="R69" s="15" t="s">
        <v>6</v>
      </c>
      <c r="S69" s="15" t="s">
        <v>13</v>
      </c>
      <c r="T69" s="16" t="s">
        <v>6</v>
      </c>
    </row>
    <row r="70" spans="1:43" ht="209.25" customHeight="1">
      <c r="A70" s="23" t="s">
        <v>14</v>
      </c>
      <c r="B70" s="24">
        <v>3</v>
      </c>
      <c r="C70" s="24">
        <v>4</v>
      </c>
      <c r="D70" s="25">
        <v>20</v>
      </c>
      <c r="E70" s="18" t="s">
        <v>201</v>
      </c>
      <c r="F70" s="26" t="s">
        <v>19</v>
      </c>
      <c r="G70" s="18" t="s">
        <v>202</v>
      </c>
      <c r="H70" s="26" t="s">
        <v>19</v>
      </c>
      <c r="I70" s="18" t="s">
        <v>177</v>
      </c>
      <c r="J70" s="26" t="s">
        <v>194</v>
      </c>
      <c r="K70" s="18" t="s">
        <v>203</v>
      </c>
      <c r="L70" s="26" t="s">
        <v>19</v>
      </c>
      <c r="M70" s="18" t="s">
        <v>204</v>
      </c>
      <c r="N70" s="26" t="s">
        <v>19</v>
      </c>
      <c r="O70" s="18" t="s">
        <v>205</v>
      </c>
      <c r="P70" s="26" t="s">
        <v>206</v>
      </c>
      <c r="Q70" s="18" t="s">
        <v>207</v>
      </c>
      <c r="R70" s="26" t="s">
        <v>208</v>
      </c>
      <c r="S70" s="18"/>
      <c r="T70" s="16"/>
    </row>
    <row r="71" spans="1:43">
      <c r="A71" s="22"/>
      <c r="B71" s="22"/>
      <c r="C71" s="22"/>
      <c r="D71" s="22"/>
      <c r="E71" s="87" t="s">
        <v>164</v>
      </c>
      <c r="F71" s="88"/>
      <c r="G71" s="88"/>
      <c r="H71" s="88"/>
      <c r="I71" s="88"/>
      <c r="J71" s="88"/>
      <c r="K71" s="88"/>
      <c r="L71" s="88"/>
      <c r="M71" s="88"/>
      <c r="N71" s="88"/>
      <c r="O71" s="88"/>
      <c r="P71" s="88"/>
      <c r="Q71" s="88"/>
      <c r="R71" s="88"/>
      <c r="S71" s="88"/>
      <c r="T71" s="89"/>
    </row>
    <row r="72" spans="1:43">
      <c r="A72" s="22"/>
      <c r="B72" s="22"/>
      <c r="C72" s="22"/>
      <c r="D72" s="22"/>
      <c r="E72" s="10" t="s">
        <v>5</v>
      </c>
      <c r="F72" s="15" t="s">
        <v>6</v>
      </c>
      <c r="G72" s="15" t="s">
        <v>7</v>
      </c>
      <c r="H72" s="15" t="s">
        <v>6</v>
      </c>
      <c r="I72" s="15" t="s">
        <v>8</v>
      </c>
      <c r="J72" s="15" t="s">
        <v>6</v>
      </c>
      <c r="K72" s="15" t="s">
        <v>9</v>
      </c>
      <c r="L72" s="15" t="s">
        <v>6</v>
      </c>
      <c r="M72" s="15" t="s">
        <v>10</v>
      </c>
      <c r="N72" s="15" t="s">
        <v>6</v>
      </c>
      <c r="O72" s="15" t="s">
        <v>11</v>
      </c>
      <c r="P72" s="15" t="s">
        <v>6</v>
      </c>
      <c r="Q72" s="15" t="s">
        <v>12</v>
      </c>
      <c r="R72" s="15" t="s">
        <v>6</v>
      </c>
      <c r="S72" s="15" t="s">
        <v>13</v>
      </c>
      <c r="T72" s="16" t="s">
        <v>6</v>
      </c>
    </row>
    <row r="73" spans="1:43" ht="207.75" customHeight="1">
      <c r="A73" s="23" t="s">
        <v>14</v>
      </c>
      <c r="B73" s="24">
        <v>3</v>
      </c>
      <c r="C73" s="24">
        <v>4</v>
      </c>
      <c r="D73" s="25">
        <v>21</v>
      </c>
      <c r="E73" s="18" t="s">
        <v>209</v>
      </c>
      <c r="F73" s="26" t="s">
        <v>19</v>
      </c>
      <c r="G73" s="18" t="s">
        <v>210</v>
      </c>
      <c r="H73" s="26"/>
      <c r="I73" s="18" t="s">
        <v>211</v>
      </c>
      <c r="J73" s="26" t="s">
        <v>194</v>
      </c>
      <c r="K73" s="18" t="s">
        <v>212</v>
      </c>
      <c r="L73" s="26" t="s">
        <v>19</v>
      </c>
      <c r="M73" s="18" t="s">
        <v>213</v>
      </c>
      <c r="N73" s="26" t="s">
        <v>214</v>
      </c>
      <c r="O73" s="18" t="s">
        <v>215</v>
      </c>
      <c r="P73" s="26" t="s">
        <v>19</v>
      </c>
      <c r="Q73" s="18" t="s">
        <v>216</v>
      </c>
      <c r="R73" s="34" t="s">
        <v>217</v>
      </c>
      <c r="S73" s="18"/>
      <c r="T73" s="16"/>
    </row>
    <row r="74" spans="1:43">
      <c r="A74" s="22"/>
      <c r="B74" s="22"/>
      <c r="C74" s="22"/>
      <c r="D74" s="22"/>
      <c r="E74" s="87" t="s">
        <v>164</v>
      </c>
      <c r="F74" s="88"/>
      <c r="G74" s="88"/>
      <c r="H74" s="88"/>
      <c r="I74" s="88"/>
      <c r="J74" s="88"/>
      <c r="K74" s="88"/>
      <c r="L74" s="88"/>
      <c r="M74" s="88"/>
      <c r="N74" s="88"/>
      <c r="O74" s="88"/>
      <c r="P74" s="88"/>
      <c r="Q74" s="88"/>
      <c r="R74" s="88"/>
      <c r="S74" s="88"/>
      <c r="T74" s="89"/>
    </row>
    <row r="75" spans="1:43">
      <c r="A75" s="22"/>
      <c r="B75" s="22"/>
      <c r="C75" s="22"/>
      <c r="D75" s="22"/>
      <c r="E75" s="10" t="s">
        <v>5</v>
      </c>
      <c r="F75" s="15" t="s">
        <v>6</v>
      </c>
      <c r="G75" s="15" t="s">
        <v>7</v>
      </c>
      <c r="H75" s="15" t="s">
        <v>6</v>
      </c>
      <c r="I75" s="15" t="s">
        <v>8</v>
      </c>
      <c r="J75" s="15" t="s">
        <v>6</v>
      </c>
      <c r="K75" s="15" t="s">
        <v>9</v>
      </c>
      <c r="L75" s="15" t="s">
        <v>6</v>
      </c>
      <c r="M75" s="15" t="s">
        <v>10</v>
      </c>
      <c r="N75" s="15" t="s">
        <v>6</v>
      </c>
      <c r="O75" s="15" t="s">
        <v>11</v>
      </c>
      <c r="P75" s="15" t="s">
        <v>6</v>
      </c>
      <c r="Q75" s="15" t="s">
        <v>12</v>
      </c>
      <c r="R75" s="15" t="s">
        <v>6</v>
      </c>
      <c r="S75" s="15" t="s">
        <v>13</v>
      </c>
      <c r="T75" s="16" t="s">
        <v>6</v>
      </c>
    </row>
    <row r="76" spans="1:43" ht="204" customHeight="1">
      <c r="A76" s="23" t="s">
        <v>14</v>
      </c>
      <c r="B76" s="24">
        <v>3</v>
      </c>
      <c r="C76" s="24">
        <v>4</v>
      </c>
      <c r="D76" s="25">
        <v>22</v>
      </c>
      <c r="E76" s="18" t="s">
        <v>218</v>
      </c>
      <c r="F76" s="26" t="s">
        <v>19</v>
      </c>
      <c r="G76" s="18" t="s">
        <v>219</v>
      </c>
      <c r="H76" s="26"/>
      <c r="I76" s="18" t="s">
        <v>177</v>
      </c>
      <c r="J76" s="26" t="s">
        <v>194</v>
      </c>
      <c r="K76" s="18" t="s">
        <v>220</v>
      </c>
      <c r="L76" s="26" t="s">
        <v>19</v>
      </c>
      <c r="M76" s="18" t="s">
        <v>221</v>
      </c>
      <c r="N76" s="26" t="s">
        <v>222</v>
      </c>
      <c r="O76" s="18" t="s">
        <v>223</v>
      </c>
      <c r="P76" s="26" t="s">
        <v>224</v>
      </c>
      <c r="Q76" s="18" t="s">
        <v>225</v>
      </c>
      <c r="R76" s="26" t="s">
        <v>226</v>
      </c>
      <c r="S76" s="18"/>
      <c r="T76" s="16"/>
    </row>
    <row r="77" spans="1:43">
      <c r="A77" s="22"/>
      <c r="B77" s="22"/>
      <c r="C77" s="22"/>
      <c r="D77" s="22"/>
      <c r="E77" s="87" t="s">
        <v>227</v>
      </c>
      <c r="F77" s="88"/>
      <c r="G77" s="88"/>
      <c r="H77" s="88"/>
      <c r="I77" s="88"/>
      <c r="J77" s="88"/>
      <c r="K77" s="88"/>
      <c r="L77" s="88"/>
      <c r="M77" s="88"/>
      <c r="N77" s="88"/>
      <c r="O77" s="88"/>
      <c r="P77" s="88"/>
      <c r="Q77" s="88"/>
      <c r="R77" s="88"/>
      <c r="S77" s="88"/>
      <c r="T77" s="89"/>
    </row>
    <row r="78" spans="1:43">
      <c r="A78" s="22"/>
      <c r="B78" s="22"/>
      <c r="C78" s="22"/>
      <c r="D78" s="22"/>
      <c r="E78" s="10" t="s">
        <v>5</v>
      </c>
      <c r="F78" s="15" t="s">
        <v>6</v>
      </c>
      <c r="G78" s="15" t="s">
        <v>7</v>
      </c>
      <c r="H78" s="15" t="s">
        <v>6</v>
      </c>
      <c r="I78" s="15" t="s">
        <v>8</v>
      </c>
      <c r="J78" s="15" t="s">
        <v>6</v>
      </c>
      <c r="K78" s="15" t="s">
        <v>9</v>
      </c>
      <c r="L78" s="15" t="s">
        <v>6</v>
      </c>
      <c r="M78" s="15" t="s">
        <v>10</v>
      </c>
      <c r="N78" s="15" t="s">
        <v>6</v>
      </c>
      <c r="O78" s="15" t="s">
        <v>11</v>
      </c>
      <c r="P78" s="15" t="s">
        <v>6</v>
      </c>
      <c r="Q78" s="15" t="s">
        <v>12</v>
      </c>
      <c r="R78" s="15" t="s">
        <v>6</v>
      </c>
      <c r="S78" s="15" t="s">
        <v>13</v>
      </c>
      <c r="T78" s="16" t="s">
        <v>6</v>
      </c>
    </row>
    <row r="79" spans="1:43" ht="171.6">
      <c r="A79" s="23" t="s">
        <v>14</v>
      </c>
      <c r="B79" s="24">
        <v>3</v>
      </c>
      <c r="C79" s="24">
        <v>5</v>
      </c>
      <c r="D79" s="25">
        <v>2</v>
      </c>
      <c r="E79" s="18" t="s">
        <v>228</v>
      </c>
      <c r="F79" s="26" t="s">
        <v>19</v>
      </c>
      <c r="G79" s="18" t="s">
        <v>229</v>
      </c>
      <c r="H79" s="36" t="s">
        <v>230</v>
      </c>
      <c r="I79" s="18" t="s">
        <v>231</v>
      </c>
      <c r="J79" s="26" t="s">
        <v>19</v>
      </c>
      <c r="K79" s="18" t="s">
        <v>232</v>
      </c>
      <c r="L79" s="26" t="s">
        <v>19</v>
      </c>
      <c r="M79" s="18" t="s">
        <v>233</v>
      </c>
      <c r="N79" s="26" t="s">
        <v>234</v>
      </c>
      <c r="O79" s="18" t="s">
        <v>235</v>
      </c>
      <c r="P79" s="26" t="s">
        <v>236</v>
      </c>
      <c r="Q79" s="18" t="s">
        <v>128</v>
      </c>
      <c r="R79" s="26" t="s">
        <v>19</v>
      </c>
      <c r="S79" s="18"/>
      <c r="T79" s="16"/>
    </row>
    <row r="80" spans="1:43">
      <c r="A80" s="22"/>
      <c r="B80" s="22"/>
      <c r="C80" s="22"/>
      <c r="D80" s="22"/>
      <c r="E80" s="87" t="s">
        <v>227</v>
      </c>
      <c r="F80" s="88"/>
      <c r="G80" s="88"/>
      <c r="H80" s="88"/>
      <c r="I80" s="88"/>
      <c r="J80" s="88"/>
      <c r="K80" s="88"/>
      <c r="L80" s="88"/>
      <c r="M80" s="88"/>
      <c r="N80" s="88"/>
      <c r="O80" s="88"/>
      <c r="P80" s="88"/>
      <c r="Q80" s="88"/>
      <c r="R80" s="88"/>
      <c r="S80" s="88"/>
      <c r="T80" s="89"/>
      <c r="AQ80" t="str">
        <f>CHAR(10)</f>
        <v xml:space="preserve">
</v>
      </c>
    </row>
    <row r="81" spans="1:20">
      <c r="A81" s="22"/>
      <c r="B81" s="22"/>
      <c r="C81" s="22"/>
      <c r="D81" s="22"/>
      <c r="E81" s="10" t="s">
        <v>5</v>
      </c>
      <c r="F81" s="15" t="s">
        <v>6</v>
      </c>
      <c r="G81" s="15" t="s">
        <v>7</v>
      </c>
      <c r="H81" s="15" t="s">
        <v>6</v>
      </c>
      <c r="I81" s="15" t="s">
        <v>8</v>
      </c>
      <c r="J81" s="15" t="s">
        <v>6</v>
      </c>
      <c r="K81" s="15" t="s">
        <v>9</v>
      </c>
      <c r="L81" s="15" t="s">
        <v>6</v>
      </c>
      <c r="M81" s="15" t="s">
        <v>10</v>
      </c>
      <c r="N81" s="15" t="s">
        <v>6</v>
      </c>
      <c r="O81" s="15" t="s">
        <v>11</v>
      </c>
      <c r="P81" s="15" t="s">
        <v>6</v>
      </c>
      <c r="Q81" s="15" t="s">
        <v>12</v>
      </c>
      <c r="R81" s="15" t="s">
        <v>6</v>
      </c>
      <c r="S81" s="15" t="s">
        <v>13</v>
      </c>
      <c r="T81" s="16" t="s">
        <v>6</v>
      </c>
    </row>
    <row r="82" spans="1:20" ht="184.9">
      <c r="A82" s="23" t="s">
        <v>14</v>
      </c>
      <c r="B82" s="24">
        <v>3</v>
      </c>
      <c r="C82" s="24">
        <v>5</v>
      </c>
      <c r="D82" s="25">
        <v>6</v>
      </c>
      <c r="E82" s="18" t="s">
        <v>237</v>
      </c>
      <c r="F82" s="26" t="s">
        <v>102</v>
      </c>
      <c r="G82" s="18" t="s">
        <v>238</v>
      </c>
      <c r="H82" s="36" t="s">
        <v>230</v>
      </c>
      <c r="I82" s="18" t="s">
        <v>239</v>
      </c>
      <c r="J82" s="26" t="s">
        <v>102</v>
      </c>
      <c r="K82" s="18" t="s">
        <v>240</v>
      </c>
      <c r="L82" s="26" t="s">
        <v>19</v>
      </c>
      <c r="M82" s="18" t="s">
        <v>241</v>
      </c>
      <c r="N82" s="26" t="s">
        <v>19</v>
      </c>
      <c r="O82" s="18" t="s">
        <v>242</v>
      </c>
      <c r="P82" s="26" t="s">
        <v>19</v>
      </c>
      <c r="Q82" s="18" t="s">
        <v>243</v>
      </c>
      <c r="R82" s="26" t="s">
        <v>19</v>
      </c>
      <c r="S82" s="18"/>
      <c r="T82" s="16"/>
    </row>
    <row r="83" spans="1:20">
      <c r="A83" s="22"/>
      <c r="B83" s="22"/>
      <c r="C83" s="22"/>
      <c r="D83" s="22"/>
      <c r="E83" s="87" t="s">
        <v>227</v>
      </c>
      <c r="F83" s="88"/>
      <c r="G83" s="88"/>
      <c r="H83" s="88"/>
      <c r="I83" s="88"/>
      <c r="J83" s="88"/>
      <c r="K83" s="88"/>
      <c r="L83" s="88"/>
      <c r="M83" s="88"/>
      <c r="N83" s="88"/>
      <c r="O83" s="88"/>
      <c r="P83" s="88"/>
      <c r="Q83" s="88"/>
      <c r="R83" s="88"/>
      <c r="S83" s="88"/>
      <c r="T83" s="89"/>
    </row>
    <row r="84" spans="1:20">
      <c r="A84" s="22"/>
      <c r="B84" s="22"/>
      <c r="C84" s="22"/>
      <c r="D84" s="22"/>
      <c r="E84" s="10" t="s">
        <v>5</v>
      </c>
      <c r="F84" s="15" t="s">
        <v>6</v>
      </c>
      <c r="G84" s="15" t="s">
        <v>7</v>
      </c>
      <c r="H84" s="15" t="s">
        <v>6</v>
      </c>
      <c r="I84" s="15" t="s">
        <v>8</v>
      </c>
      <c r="J84" s="15" t="s">
        <v>6</v>
      </c>
      <c r="K84" s="15" t="s">
        <v>9</v>
      </c>
      <c r="L84" s="15" t="s">
        <v>6</v>
      </c>
      <c r="M84" s="15" t="s">
        <v>10</v>
      </c>
      <c r="N84" s="15" t="s">
        <v>6</v>
      </c>
      <c r="O84" s="15" t="s">
        <v>11</v>
      </c>
      <c r="P84" s="15" t="s">
        <v>6</v>
      </c>
      <c r="Q84" s="15" t="s">
        <v>12</v>
      </c>
      <c r="R84" s="15" t="s">
        <v>6</v>
      </c>
      <c r="S84" s="15" t="s">
        <v>13</v>
      </c>
      <c r="T84" s="16" t="s">
        <v>6</v>
      </c>
    </row>
    <row r="85" spans="1:20" ht="184.9">
      <c r="A85" s="23" t="s">
        <v>14</v>
      </c>
      <c r="B85" s="24">
        <v>3</v>
      </c>
      <c r="C85" s="24">
        <v>5</v>
      </c>
      <c r="D85" s="25">
        <v>11</v>
      </c>
      <c r="E85" s="18" t="s">
        <v>244</v>
      </c>
      <c r="F85" s="26" t="s">
        <v>19</v>
      </c>
      <c r="G85" s="18" t="s">
        <v>245</v>
      </c>
      <c r="H85" s="36" t="s">
        <v>230</v>
      </c>
      <c r="I85" s="18" t="s">
        <v>246</v>
      </c>
      <c r="J85" s="26" t="s">
        <v>19</v>
      </c>
      <c r="K85" s="18" t="s">
        <v>247</v>
      </c>
      <c r="L85" s="26" t="s">
        <v>19</v>
      </c>
      <c r="M85" s="18" t="s">
        <v>248</v>
      </c>
      <c r="N85" s="26" t="s">
        <v>19</v>
      </c>
      <c r="O85" s="18" t="s">
        <v>249</v>
      </c>
      <c r="P85" s="26" t="s">
        <v>19</v>
      </c>
      <c r="Q85" s="18" t="s">
        <v>250</v>
      </c>
      <c r="R85" s="26" t="s">
        <v>19</v>
      </c>
      <c r="S85" s="18"/>
      <c r="T85" s="16"/>
    </row>
    <row r="86" spans="1:20">
      <c r="A86" s="22"/>
      <c r="B86" s="22"/>
      <c r="C86" s="22"/>
      <c r="D86" s="22"/>
      <c r="E86" s="87" t="s">
        <v>227</v>
      </c>
      <c r="F86" s="88"/>
      <c r="G86" s="88"/>
      <c r="H86" s="88"/>
      <c r="I86" s="88"/>
      <c r="J86" s="88"/>
      <c r="K86" s="88"/>
      <c r="L86" s="88"/>
      <c r="M86" s="88"/>
      <c r="N86" s="88"/>
      <c r="O86" s="88"/>
      <c r="P86" s="88"/>
      <c r="Q86" s="88"/>
      <c r="R86" s="88"/>
      <c r="S86" s="88"/>
      <c r="T86" s="89"/>
    </row>
    <row r="87" spans="1:20">
      <c r="A87" s="22"/>
      <c r="B87" s="22"/>
      <c r="C87" s="22"/>
      <c r="D87" s="22"/>
      <c r="E87" s="10" t="s">
        <v>5</v>
      </c>
      <c r="F87" s="15" t="s">
        <v>6</v>
      </c>
      <c r="G87" s="15" t="s">
        <v>7</v>
      </c>
      <c r="H87" s="15" t="s">
        <v>6</v>
      </c>
      <c r="I87" s="15" t="s">
        <v>8</v>
      </c>
      <c r="J87" s="15" t="s">
        <v>6</v>
      </c>
      <c r="K87" s="15" t="s">
        <v>9</v>
      </c>
      <c r="L87" s="15" t="s">
        <v>6</v>
      </c>
      <c r="M87" s="15" t="s">
        <v>10</v>
      </c>
      <c r="N87" s="15" t="s">
        <v>6</v>
      </c>
      <c r="O87" s="15" t="s">
        <v>11</v>
      </c>
      <c r="P87" s="15" t="s">
        <v>6</v>
      </c>
      <c r="Q87" s="15" t="s">
        <v>12</v>
      </c>
      <c r="R87" s="15" t="s">
        <v>6</v>
      </c>
      <c r="S87" s="15" t="s">
        <v>13</v>
      </c>
      <c r="T87" s="16" t="s">
        <v>6</v>
      </c>
    </row>
    <row r="88" spans="1:20" ht="158.44999999999999">
      <c r="A88" s="23" t="s">
        <v>14</v>
      </c>
      <c r="B88" s="24">
        <v>3</v>
      </c>
      <c r="C88" s="24">
        <v>5</v>
      </c>
      <c r="D88" s="25">
        <v>16</v>
      </c>
      <c r="E88" s="18" t="s">
        <v>251</v>
      </c>
      <c r="F88" s="26" t="s">
        <v>19</v>
      </c>
      <c r="G88" s="18" t="s">
        <v>252</v>
      </c>
      <c r="H88" s="36" t="s">
        <v>230</v>
      </c>
      <c r="I88" s="18" t="s">
        <v>253</v>
      </c>
      <c r="J88" s="26" t="s">
        <v>19</v>
      </c>
      <c r="K88" s="18" t="s">
        <v>254</v>
      </c>
      <c r="L88" s="26" t="s">
        <v>19</v>
      </c>
      <c r="M88" s="18" t="s">
        <v>255</v>
      </c>
      <c r="N88" s="26" t="s">
        <v>19</v>
      </c>
      <c r="O88" s="18" t="s">
        <v>256</v>
      </c>
      <c r="P88" s="26" t="s">
        <v>19</v>
      </c>
      <c r="Q88" s="18" t="s">
        <v>257</v>
      </c>
      <c r="R88" s="26" t="s">
        <v>19</v>
      </c>
      <c r="S88" s="18"/>
      <c r="T88" s="16"/>
    </row>
    <row r="89" spans="1:20">
      <c r="A89" s="22"/>
      <c r="B89" s="22"/>
      <c r="C89" s="22"/>
      <c r="D89" s="22"/>
      <c r="E89" s="87" t="s">
        <v>227</v>
      </c>
      <c r="F89" s="88"/>
      <c r="G89" s="88"/>
      <c r="H89" s="88"/>
      <c r="I89" s="88"/>
      <c r="J89" s="88"/>
      <c r="K89" s="88"/>
      <c r="L89" s="88"/>
      <c r="M89" s="88"/>
      <c r="N89" s="88"/>
      <c r="O89" s="88"/>
      <c r="P89" s="88"/>
      <c r="Q89" s="88"/>
      <c r="R89" s="88"/>
      <c r="S89" s="88"/>
      <c r="T89" s="89"/>
    </row>
    <row r="90" spans="1:20">
      <c r="A90" s="22"/>
      <c r="B90" s="22"/>
      <c r="C90" s="22"/>
      <c r="D90" s="22"/>
      <c r="E90" s="10" t="s">
        <v>5</v>
      </c>
      <c r="F90" s="15" t="s">
        <v>6</v>
      </c>
      <c r="G90" s="15" t="s">
        <v>7</v>
      </c>
      <c r="H90" s="15" t="s">
        <v>6</v>
      </c>
      <c r="I90" s="15" t="s">
        <v>8</v>
      </c>
      <c r="J90" s="15" t="s">
        <v>6</v>
      </c>
      <c r="K90" s="15" t="s">
        <v>9</v>
      </c>
      <c r="L90" s="15" t="s">
        <v>6</v>
      </c>
      <c r="M90" s="15" t="s">
        <v>10</v>
      </c>
      <c r="N90" s="15" t="s">
        <v>6</v>
      </c>
      <c r="O90" s="15" t="s">
        <v>11</v>
      </c>
      <c r="P90" s="15" t="s">
        <v>6</v>
      </c>
      <c r="Q90" s="15" t="s">
        <v>12</v>
      </c>
      <c r="R90" s="15" t="s">
        <v>6</v>
      </c>
      <c r="S90" s="15" t="s">
        <v>13</v>
      </c>
      <c r="T90" s="16" t="s">
        <v>6</v>
      </c>
    </row>
    <row r="91" spans="1:20" ht="158.44999999999999">
      <c r="A91" s="23" t="s">
        <v>14</v>
      </c>
      <c r="B91" s="24">
        <v>3</v>
      </c>
      <c r="C91" s="24">
        <v>5</v>
      </c>
      <c r="D91" s="25">
        <v>23</v>
      </c>
      <c r="E91" s="18" t="s">
        <v>258</v>
      </c>
      <c r="F91" s="26" t="s">
        <v>19</v>
      </c>
      <c r="G91" s="18" t="s">
        <v>259</v>
      </c>
      <c r="H91" s="36" t="s">
        <v>230</v>
      </c>
      <c r="I91" s="18" t="s">
        <v>260</v>
      </c>
      <c r="J91" s="26" t="s">
        <v>19</v>
      </c>
      <c r="K91" s="18" t="s">
        <v>261</v>
      </c>
      <c r="L91" s="26" t="s">
        <v>19</v>
      </c>
      <c r="M91" s="18" t="s">
        <v>262</v>
      </c>
      <c r="N91" s="26" t="s">
        <v>19</v>
      </c>
      <c r="O91" s="18" t="s">
        <v>263</v>
      </c>
      <c r="P91" s="26" t="s">
        <v>19</v>
      </c>
      <c r="Q91" s="18" t="s">
        <v>128</v>
      </c>
      <c r="R91" s="26" t="s">
        <v>19</v>
      </c>
      <c r="S91" s="18"/>
      <c r="T91" s="16"/>
    </row>
    <row r="92" spans="1:20">
      <c r="A92" s="22"/>
      <c r="B92" s="22"/>
      <c r="C92" s="22"/>
      <c r="D92" s="22"/>
      <c r="E92" s="87" t="s">
        <v>227</v>
      </c>
      <c r="F92" s="88"/>
      <c r="G92" s="88"/>
      <c r="H92" s="88"/>
      <c r="I92" s="88"/>
      <c r="J92" s="88"/>
      <c r="K92" s="88"/>
      <c r="L92" s="88"/>
      <c r="M92" s="88"/>
      <c r="N92" s="88"/>
      <c r="O92" s="88"/>
      <c r="P92" s="88"/>
      <c r="Q92" s="88"/>
      <c r="R92" s="88"/>
      <c r="S92" s="88"/>
      <c r="T92" s="89"/>
    </row>
    <row r="93" spans="1:20">
      <c r="A93" s="22"/>
      <c r="B93" s="22"/>
      <c r="C93" s="22"/>
      <c r="D93" s="22"/>
      <c r="E93" s="10" t="s">
        <v>5</v>
      </c>
      <c r="F93" s="15" t="s">
        <v>6</v>
      </c>
      <c r="G93" s="15" t="s">
        <v>7</v>
      </c>
      <c r="H93" s="15" t="s">
        <v>6</v>
      </c>
      <c r="I93" s="15" t="s">
        <v>8</v>
      </c>
      <c r="J93" s="15" t="s">
        <v>6</v>
      </c>
      <c r="K93" s="15" t="s">
        <v>9</v>
      </c>
      <c r="L93" s="15" t="s">
        <v>6</v>
      </c>
      <c r="M93" s="15" t="s">
        <v>10</v>
      </c>
      <c r="N93" s="15" t="s">
        <v>6</v>
      </c>
      <c r="O93" s="15" t="s">
        <v>11</v>
      </c>
      <c r="P93" s="15" t="s">
        <v>6</v>
      </c>
      <c r="Q93" s="15" t="s">
        <v>12</v>
      </c>
      <c r="R93" s="15" t="s">
        <v>6</v>
      </c>
      <c r="S93" s="15" t="s">
        <v>13</v>
      </c>
      <c r="T93" s="16" t="s">
        <v>6</v>
      </c>
    </row>
    <row r="94" spans="1:20" ht="171.6">
      <c r="A94" s="23" t="s">
        <v>14</v>
      </c>
      <c r="B94" s="24">
        <v>3</v>
      </c>
      <c r="C94" s="24">
        <v>5</v>
      </c>
      <c r="D94" s="25">
        <v>24</v>
      </c>
      <c r="E94" s="18" t="s">
        <v>264</v>
      </c>
      <c r="F94" s="26" t="s">
        <v>19</v>
      </c>
      <c r="G94" s="18" t="s">
        <v>265</v>
      </c>
      <c r="H94" s="36" t="s">
        <v>230</v>
      </c>
      <c r="I94" s="18" t="s">
        <v>266</v>
      </c>
      <c r="J94" s="26" t="s">
        <v>19</v>
      </c>
      <c r="K94" s="18" t="s">
        <v>267</v>
      </c>
      <c r="L94" s="26" t="s">
        <v>19</v>
      </c>
      <c r="M94" s="18" t="s">
        <v>268</v>
      </c>
      <c r="N94" s="26" t="s">
        <v>19</v>
      </c>
      <c r="O94" s="18" t="s">
        <v>269</v>
      </c>
      <c r="P94" s="26" t="s">
        <v>19</v>
      </c>
      <c r="Q94" s="18" t="s">
        <v>128</v>
      </c>
      <c r="R94" s="26" t="s">
        <v>19</v>
      </c>
      <c r="S94" s="18"/>
      <c r="T94" s="16"/>
    </row>
    <row r="95" spans="1:20">
      <c r="A95" s="22"/>
      <c r="B95" s="22"/>
      <c r="C95" s="22"/>
      <c r="D95" s="22"/>
      <c r="E95" s="87" t="s">
        <v>227</v>
      </c>
      <c r="F95" s="88"/>
      <c r="G95" s="88"/>
      <c r="H95" s="88"/>
      <c r="I95" s="88"/>
      <c r="J95" s="88"/>
      <c r="K95" s="88"/>
      <c r="L95" s="88"/>
      <c r="M95" s="88"/>
      <c r="N95" s="88"/>
      <c r="O95" s="88"/>
      <c r="P95" s="88"/>
      <c r="Q95" s="88"/>
      <c r="R95" s="88"/>
      <c r="S95" s="88"/>
      <c r="T95" s="89"/>
    </row>
    <row r="96" spans="1:20">
      <c r="A96" s="22"/>
      <c r="B96" s="22"/>
      <c r="C96" s="22"/>
      <c r="D96" s="22"/>
      <c r="E96" s="10" t="s">
        <v>5</v>
      </c>
      <c r="F96" s="15" t="s">
        <v>6</v>
      </c>
      <c r="G96" s="15" t="s">
        <v>7</v>
      </c>
      <c r="H96" s="15" t="s">
        <v>6</v>
      </c>
      <c r="I96" s="15" t="s">
        <v>8</v>
      </c>
      <c r="J96" s="15" t="s">
        <v>6</v>
      </c>
      <c r="K96" s="15" t="s">
        <v>9</v>
      </c>
      <c r="L96" s="15" t="s">
        <v>6</v>
      </c>
      <c r="M96" s="15" t="s">
        <v>10</v>
      </c>
      <c r="N96" s="15" t="s">
        <v>6</v>
      </c>
      <c r="O96" s="15" t="s">
        <v>11</v>
      </c>
      <c r="P96" s="15" t="s">
        <v>6</v>
      </c>
      <c r="Q96" s="15" t="s">
        <v>12</v>
      </c>
      <c r="R96" s="15" t="s">
        <v>6</v>
      </c>
      <c r="S96" s="15" t="s">
        <v>13</v>
      </c>
      <c r="T96" s="16" t="s">
        <v>6</v>
      </c>
    </row>
    <row r="97" spans="1:20" ht="192.75" customHeight="1">
      <c r="A97" s="23" t="s">
        <v>14</v>
      </c>
      <c r="B97" s="24">
        <v>3</v>
      </c>
      <c r="C97" s="24">
        <v>5</v>
      </c>
      <c r="D97" s="25">
        <v>25</v>
      </c>
      <c r="E97" s="18" t="s">
        <v>270</v>
      </c>
      <c r="F97" s="26" t="s">
        <v>19</v>
      </c>
      <c r="G97" s="18" t="s">
        <v>271</v>
      </c>
      <c r="H97" s="36" t="s">
        <v>230</v>
      </c>
      <c r="I97" s="18" t="s">
        <v>272</v>
      </c>
      <c r="J97" s="26" t="s">
        <v>19</v>
      </c>
      <c r="K97" s="18" t="s">
        <v>273</v>
      </c>
      <c r="L97" s="26" t="s">
        <v>19</v>
      </c>
      <c r="M97" s="18" t="s">
        <v>274</v>
      </c>
      <c r="N97" s="26" t="s">
        <v>19</v>
      </c>
      <c r="O97" s="18" t="s">
        <v>275</v>
      </c>
      <c r="P97" s="26" t="s">
        <v>19</v>
      </c>
      <c r="Q97" s="18" t="s">
        <v>128</v>
      </c>
      <c r="R97" s="26" t="s">
        <v>19</v>
      </c>
      <c r="S97" s="18"/>
      <c r="T97" s="16"/>
    </row>
    <row r="98" spans="1:20">
      <c r="A98" s="22"/>
      <c r="B98" s="22"/>
      <c r="C98" s="22"/>
      <c r="D98" s="22"/>
      <c r="E98" s="87" t="s">
        <v>276</v>
      </c>
      <c r="F98" s="88"/>
      <c r="G98" s="88"/>
      <c r="H98" s="88"/>
      <c r="I98" s="88"/>
      <c r="J98" s="88"/>
      <c r="K98" s="88"/>
      <c r="L98" s="88"/>
      <c r="M98" s="88"/>
      <c r="N98" s="88"/>
      <c r="O98" s="88"/>
      <c r="P98" s="88"/>
      <c r="Q98" s="88"/>
      <c r="R98" s="88"/>
      <c r="S98" s="88"/>
      <c r="T98" s="89"/>
    </row>
    <row r="99" spans="1:20">
      <c r="A99" s="22"/>
      <c r="B99" s="22"/>
      <c r="C99" s="22"/>
      <c r="D99" s="22"/>
      <c r="E99" s="10" t="s">
        <v>5</v>
      </c>
      <c r="F99" s="15" t="s">
        <v>6</v>
      </c>
      <c r="G99" s="15" t="s">
        <v>7</v>
      </c>
      <c r="H99" s="15" t="s">
        <v>6</v>
      </c>
      <c r="I99" s="15" t="s">
        <v>8</v>
      </c>
      <c r="J99" s="15" t="s">
        <v>6</v>
      </c>
      <c r="K99" s="15" t="s">
        <v>9</v>
      </c>
      <c r="L99" s="15" t="s">
        <v>6</v>
      </c>
      <c r="M99" s="15" t="s">
        <v>10</v>
      </c>
      <c r="N99" s="15" t="s">
        <v>6</v>
      </c>
      <c r="O99" s="15" t="s">
        <v>11</v>
      </c>
      <c r="P99" s="15" t="s">
        <v>6</v>
      </c>
      <c r="Q99" s="15" t="s">
        <v>12</v>
      </c>
      <c r="R99" s="15" t="s">
        <v>6</v>
      </c>
      <c r="S99" s="15" t="s">
        <v>13</v>
      </c>
      <c r="T99" s="16" t="s">
        <v>6</v>
      </c>
    </row>
    <row r="100" spans="1:20" ht="211.15">
      <c r="A100" s="23" t="s">
        <v>14</v>
      </c>
      <c r="B100" s="24">
        <v>3</v>
      </c>
      <c r="C100" s="24">
        <v>6</v>
      </c>
      <c r="D100" s="25">
        <v>2</v>
      </c>
      <c r="E100" s="18" t="s">
        <v>277</v>
      </c>
      <c r="F100" s="26" t="s">
        <v>19</v>
      </c>
      <c r="G100" s="18" t="s">
        <v>278</v>
      </c>
      <c r="H100" s="26" t="s">
        <v>19</v>
      </c>
      <c r="I100" s="18" t="s">
        <v>279</v>
      </c>
      <c r="J100" s="26" t="s">
        <v>19</v>
      </c>
      <c r="K100" s="18" t="s">
        <v>280</v>
      </c>
      <c r="L100" s="26" t="s">
        <v>281</v>
      </c>
      <c r="M100" s="18" t="s">
        <v>282</v>
      </c>
      <c r="N100" s="26" t="s">
        <v>84</v>
      </c>
      <c r="O100" s="18" t="s">
        <v>283</v>
      </c>
      <c r="P100" s="26" t="s">
        <v>84</v>
      </c>
      <c r="Q100" s="18" t="s">
        <v>284</v>
      </c>
      <c r="R100" s="26" t="s">
        <v>285</v>
      </c>
      <c r="S100" s="18"/>
      <c r="T100" s="16"/>
    </row>
    <row r="101" spans="1:20">
      <c r="A101" s="22"/>
      <c r="B101" s="22"/>
      <c r="C101" s="22"/>
      <c r="D101" s="22"/>
      <c r="E101" s="87" t="s">
        <v>276</v>
      </c>
      <c r="F101" s="88"/>
      <c r="G101" s="88"/>
      <c r="H101" s="88"/>
      <c r="I101" s="88"/>
      <c r="J101" s="88"/>
      <c r="K101" s="88"/>
      <c r="L101" s="88"/>
      <c r="M101" s="88"/>
      <c r="N101" s="88"/>
      <c r="O101" s="88"/>
      <c r="P101" s="88"/>
      <c r="Q101" s="88"/>
      <c r="R101" s="88"/>
      <c r="S101" s="88"/>
      <c r="T101" s="89"/>
    </row>
    <row r="102" spans="1:20">
      <c r="A102" s="22"/>
      <c r="B102" s="22"/>
      <c r="C102" s="22"/>
      <c r="D102" s="22"/>
      <c r="E102" s="10" t="s">
        <v>5</v>
      </c>
      <c r="F102" s="15" t="s">
        <v>6</v>
      </c>
      <c r="G102" s="15" t="s">
        <v>7</v>
      </c>
      <c r="H102" s="15" t="s">
        <v>6</v>
      </c>
      <c r="I102" s="15" t="s">
        <v>8</v>
      </c>
      <c r="J102" s="15" t="s">
        <v>6</v>
      </c>
      <c r="K102" s="15" t="s">
        <v>9</v>
      </c>
      <c r="L102" s="15" t="s">
        <v>6</v>
      </c>
      <c r="M102" s="15" t="s">
        <v>10</v>
      </c>
      <c r="N102" s="15" t="s">
        <v>6</v>
      </c>
      <c r="O102" s="15" t="s">
        <v>11</v>
      </c>
      <c r="P102" s="15" t="s">
        <v>6</v>
      </c>
      <c r="Q102" s="15" t="s">
        <v>12</v>
      </c>
      <c r="R102" s="15" t="s">
        <v>6</v>
      </c>
      <c r="S102" s="15" t="s">
        <v>13</v>
      </c>
      <c r="T102" s="16" t="s">
        <v>6</v>
      </c>
    </row>
    <row r="103" spans="1:20" ht="184.9">
      <c r="A103" s="23" t="s">
        <v>14</v>
      </c>
      <c r="B103" s="24">
        <v>3</v>
      </c>
      <c r="C103" s="24">
        <v>6</v>
      </c>
      <c r="D103" s="25">
        <v>7</v>
      </c>
      <c r="E103" s="18" t="s">
        <v>286</v>
      </c>
      <c r="F103" s="26" t="s">
        <v>19</v>
      </c>
      <c r="G103" s="18" t="s">
        <v>287</v>
      </c>
      <c r="H103" s="26" t="s">
        <v>19</v>
      </c>
      <c r="I103" s="18" t="s">
        <v>288</v>
      </c>
      <c r="J103" s="26" t="s">
        <v>19</v>
      </c>
      <c r="K103" s="18" t="s">
        <v>289</v>
      </c>
      <c r="L103" s="26" t="s">
        <v>281</v>
      </c>
      <c r="M103" s="18" t="s">
        <v>290</v>
      </c>
      <c r="N103" s="26" t="s">
        <v>84</v>
      </c>
      <c r="O103" s="18" t="s">
        <v>291</v>
      </c>
      <c r="P103" s="26" t="s">
        <v>84</v>
      </c>
      <c r="Q103" s="18" t="s">
        <v>292</v>
      </c>
      <c r="R103" s="36" t="s">
        <v>293</v>
      </c>
      <c r="S103" s="18"/>
      <c r="T103" s="16"/>
    </row>
    <row r="104" spans="1:20">
      <c r="A104" s="22"/>
      <c r="B104" s="22"/>
      <c r="C104" s="22"/>
      <c r="D104" s="22"/>
      <c r="E104" s="87" t="s">
        <v>276</v>
      </c>
      <c r="F104" s="88"/>
      <c r="G104" s="88"/>
      <c r="H104" s="88"/>
      <c r="I104" s="88"/>
      <c r="J104" s="88"/>
      <c r="K104" s="88"/>
      <c r="L104" s="88"/>
      <c r="M104" s="88"/>
      <c r="N104" s="88"/>
      <c r="O104" s="88"/>
      <c r="P104" s="88"/>
      <c r="Q104" s="88"/>
      <c r="R104" s="88"/>
      <c r="S104" s="88"/>
      <c r="T104" s="89"/>
    </row>
    <row r="105" spans="1:20">
      <c r="A105" s="22"/>
      <c r="B105" s="22"/>
      <c r="C105" s="22"/>
      <c r="D105" s="22"/>
      <c r="E105" s="10" t="s">
        <v>5</v>
      </c>
      <c r="F105" s="15" t="s">
        <v>6</v>
      </c>
      <c r="G105" s="15" t="s">
        <v>7</v>
      </c>
      <c r="H105" s="15" t="s">
        <v>6</v>
      </c>
      <c r="I105" s="15" t="s">
        <v>8</v>
      </c>
      <c r="J105" s="15" t="s">
        <v>6</v>
      </c>
      <c r="K105" s="15" t="s">
        <v>9</v>
      </c>
      <c r="L105" s="15" t="s">
        <v>6</v>
      </c>
      <c r="M105" s="15" t="s">
        <v>10</v>
      </c>
      <c r="N105" s="15" t="s">
        <v>6</v>
      </c>
      <c r="O105" s="15" t="s">
        <v>11</v>
      </c>
      <c r="P105" s="15" t="s">
        <v>6</v>
      </c>
      <c r="Q105" s="15" t="s">
        <v>12</v>
      </c>
      <c r="R105" s="15" t="s">
        <v>6</v>
      </c>
      <c r="S105" s="15" t="s">
        <v>13</v>
      </c>
      <c r="T105" s="16" t="s">
        <v>6</v>
      </c>
    </row>
    <row r="106" spans="1:20" ht="184.9">
      <c r="A106" s="23" t="s">
        <v>14</v>
      </c>
      <c r="B106" s="24">
        <v>3</v>
      </c>
      <c r="C106" s="24">
        <v>6</v>
      </c>
      <c r="D106" s="25">
        <v>12</v>
      </c>
      <c r="E106" s="18" t="s">
        <v>294</v>
      </c>
      <c r="F106" s="26" t="s">
        <v>19</v>
      </c>
      <c r="G106" s="18" t="s">
        <v>295</v>
      </c>
      <c r="H106" s="26" t="s">
        <v>19</v>
      </c>
      <c r="I106" s="18" t="s">
        <v>296</v>
      </c>
      <c r="J106" s="26" t="s">
        <v>19</v>
      </c>
      <c r="K106" s="18" t="s">
        <v>297</v>
      </c>
      <c r="L106" s="26" t="s">
        <v>281</v>
      </c>
      <c r="M106" s="18" t="s">
        <v>298</v>
      </c>
      <c r="N106" s="26" t="s">
        <v>84</v>
      </c>
      <c r="O106" s="18" t="s">
        <v>299</v>
      </c>
      <c r="P106" s="26" t="s">
        <v>84</v>
      </c>
      <c r="Q106" s="18" t="s">
        <v>300</v>
      </c>
      <c r="R106" s="26" t="s">
        <v>84</v>
      </c>
      <c r="S106" s="18"/>
      <c r="T106" s="16"/>
    </row>
    <row r="107" spans="1:20">
      <c r="A107" s="22"/>
      <c r="B107" s="22"/>
      <c r="C107" s="22"/>
      <c r="D107" s="22"/>
      <c r="E107" s="87" t="s">
        <v>276</v>
      </c>
      <c r="F107" s="88"/>
      <c r="G107" s="88"/>
      <c r="H107" s="88"/>
      <c r="I107" s="88"/>
      <c r="J107" s="88"/>
      <c r="K107" s="88"/>
      <c r="L107" s="88"/>
      <c r="M107" s="88"/>
      <c r="N107" s="88"/>
      <c r="O107" s="88"/>
      <c r="P107" s="88"/>
      <c r="Q107" s="88"/>
      <c r="R107" s="88"/>
      <c r="S107" s="88"/>
      <c r="T107" s="89"/>
    </row>
    <row r="108" spans="1:20">
      <c r="A108" s="22"/>
      <c r="B108" s="22"/>
      <c r="C108" s="22"/>
      <c r="D108" s="22"/>
      <c r="E108" s="10" t="s">
        <v>5</v>
      </c>
      <c r="F108" s="15" t="s">
        <v>6</v>
      </c>
      <c r="G108" s="15" t="s">
        <v>7</v>
      </c>
      <c r="H108" s="15" t="s">
        <v>6</v>
      </c>
      <c r="I108" s="15" t="s">
        <v>8</v>
      </c>
      <c r="J108" s="15" t="s">
        <v>6</v>
      </c>
      <c r="K108" s="15" t="s">
        <v>9</v>
      </c>
      <c r="L108" s="15" t="s">
        <v>6</v>
      </c>
      <c r="M108" s="15" t="s">
        <v>10</v>
      </c>
      <c r="N108" s="15" t="s">
        <v>6</v>
      </c>
      <c r="O108" s="15" t="s">
        <v>11</v>
      </c>
      <c r="P108" s="15" t="s">
        <v>6</v>
      </c>
      <c r="Q108" s="15" t="s">
        <v>12</v>
      </c>
      <c r="R108" s="15" t="s">
        <v>6</v>
      </c>
      <c r="S108" s="15" t="s">
        <v>13</v>
      </c>
      <c r="T108" s="16" t="s">
        <v>6</v>
      </c>
    </row>
    <row r="109" spans="1:20" ht="224.45">
      <c r="A109" s="23" t="s">
        <v>14</v>
      </c>
      <c r="B109" s="24">
        <v>3</v>
      </c>
      <c r="C109" s="24">
        <v>6</v>
      </c>
      <c r="D109" s="25">
        <v>17</v>
      </c>
      <c r="E109" s="18" t="s">
        <v>301</v>
      </c>
      <c r="F109" s="26" t="s">
        <v>302</v>
      </c>
      <c r="G109" s="18" t="s">
        <v>295</v>
      </c>
      <c r="H109" s="26" t="s">
        <v>19</v>
      </c>
      <c r="I109" s="18" t="s">
        <v>296</v>
      </c>
      <c r="J109" s="26" t="s">
        <v>19</v>
      </c>
      <c r="K109" s="18" t="s">
        <v>303</v>
      </c>
      <c r="L109" s="26" t="s">
        <v>281</v>
      </c>
      <c r="M109" s="18" t="s">
        <v>304</v>
      </c>
      <c r="N109" s="26" t="s">
        <v>84</v>
      </c>
      <c r="O109" s="18" t="s">
        <v>305</v>
      </c>
      <c r="P109" s="26" t="s">
        <v>84</v>
      </c>
      <c r="Q109" s="18" t="s">
        <v>306</v>
      </c>
      <c r="R109" s="26" t="s">
        <v>307</v>
      </c>
      <c r="S109" s="18"/>
      <c r="T109" s="16"/>
    </row>
    <row r="110" spans="1:20">
      <c r="A110" s="22"/>
      <c r="B110" s="22"/>
      <c r="C110" s="22"/>
      <c r="D110" s="22"/>
      <c r="E110" s="87" t="s">
        <v>276</v>
      </c>
      <c r="F110" s="88"/>
      <c r="G110" s="88"/>
      <c r="H110" s="88"/>
      <c r="I110" s="88"/>
      <c r="J110" s="88"/>
      <c r="K110" s="88"/>
      <c r="L110" s="88"/>
      <c r="M110" s="88"/>
      <c r="N110" s="88"/>
      <c r="O110" s="88"/>
      <c r="P110" s="88"/>
      <c r="Q110" s="88"/>
      <c r="R110" s="88"/>
      <c r="S110" s="88"/>
      <c r="T110" s="89"/>
    </row>
    <row r="111" spans="1:20">
      <c r="A111" s="22"/>
      <c r="B111" s="22"/>
      <c r="C111" s="22"/>
      <c r="D111" s="22"/>
      <c r="E111" s="10" t="s">
        <v>5</v>
      </c>
      <c r="F111" s="15" t="s">
        <v>6</v>
      </c>
      <c r="G111" s="15" t="s">
        <v>7</v>
      </c>
      <c r="H111" s="15" t="s">
        <v>6</v>
      </c>
      <c r="I111" s="15" t="s">
        <v>8</v>
      </c>
      <c r="J111" s="15" t="s">
        <v>6</v>
      </c>
      <c r="K111" s="15" t="s">
        <v>9</v>
      </c>
      <c r="L111" s="15" t="s">
        <v>6</v>
      </c>
      <c r="M111" s="15" t="s">
        <v>10</v>
      </c>
      <c r="N111" s="15" t="s">
        <v>6</v>
      </c>
      <c r="O111" s="15" t="s">
        <v>11</v>
      </c>
      <c r="P111" s="15" t="s">
        <v>6</v>
      </c>
      <c r="Q111" s="15" t="s">
        <v>12</v>
      </c>
      <c r="R111" s="15" t="s">
        <v>6</v>
      </c>
      <c r="S111" s="15" t="s">
        <v>13</v>
      </c>
      <c r="T111" s="16" t="s">
        <v>6</v>
      </c>
    </row>
    <row r="112" spans="1:20" ht="198">
      <c r="A112" s="23" t="s">
        <v>14</v>
      </c>
      <c r="B112" s="24">
        <v>3</v>
      </c>
      <c r="C112" s="24">
        <v>6</v>
      </c>
      <c r="D112" s="25">
        <v>20</v>
      </c>
      <c r="E112" s="18" t="s">
        <v>308</v>
      </c>
      <c r="F112" s="26" t="s">
        <v>19</v>
      </c>
      <c r="G112" s="18" t="s">
        <v>295</v>
      </c>
      <c r="H112" s="26" t="s">
        <v>19</v>
      </c>
      <c r="I112" s="18" t="s">
        <v>309</v>
      </c>
      <c r="J112" s="26" t="s">
        <v>19</v>
      </c>
      <c r="K112" s="18" t="s">
        <v>310</v>
      </c>
      <c r="L112" s="26" t="s">
        <v>281</v>
      </c>
      <c r="M112" s="18" t="s">
        <v>311</v>
      </c>
      <c r="N112" s="26" t="s">
        <v>84</v>
      </c>
      <c r="O112" s="18" t="s">
        <v>312</v>
      </c>
      <c r="P112" s="26" t="s">
        <v>84</v>
      </c>
      <c r="Q112" s="18" t="s">
        <v>313</v>
      </c>
      <c r="R112" s="26" t="s">
        <v>307</v>
      </c>
      <c r="S112" s="18"/>
      <c r="T112" s="16"/>
    </row>
    <row r="113" spans="1:20">
      <c r="A113" s="22"/>
      <c r="B113" s="22"/>
      <c r="C113" s="22"/>
      <c r="D113" s="22"/>
      <c r="E113" s="87" t="s">
        <v>276</v>
      </c>
      <c r="F113" s="88"/>
      <c r="G113" s="88"/>
      <c r="H113" s="88"/>
      <c r="I113" s="88"/>
      <c r="J113" s="88"/>
      <c r="K113" s="88"/>
      <c r="L113" s="88"/>
      <c r="M113" s="88"/>
      <c r="N113" s="88"/>
      <c r="O113" s="88"/>
      <c r="P113" s="88"/>
      <c r="Q113" s="88"/>
      <c r="R113" s="88"/>
      <c r="S113" s="88"/>
      <c r="T113" s="89"/>
    </row>
    <row r="114" spans="1:20">
      <c r="A114" s="22"/>
      <c r="B114" s="22"/>
      <c r="C114" s="22"/>
      <c r="D114" s="22"/>
      <c r="E114" s="10" t="s">
        <v>5</v>
      </c>
      <c r="F114" s="15" t="s">
        <v>6</v>
      </c>
      <c r="G114" s="15" t="s">
        <v>7</v>
      </c>
      <c r="H114" s="15" t="s">
        <v>6</v>
      </c>
      <c r="I114" s="15" t="s">
        <v>8</v>
      </c>
      <c r="J114" s="15" t="s">
        <v>6</v>
      </c>
      <c r="K114" s="15" t="s">
        <v>9</v>
      </c>
      <c r="L114" s="15" t="s">
        <v>6</v>
      </c>
      <c r="M114" s="15" t="s">
        <v>10</v>
      </c>
      <c r="N114" s="15" t="s">
        <v>6</v>
      </c>
      <c r="O114" s="15" t="s">
        <v>11</v>
      </c>
      <c r="P114" s="15" t="s">
        <v>6</v>
      </c>
      <c r="Q114" s="15" t="s">
        <v>12</v>
      </c>
      <c r="R114" s="15" t="s">
        <v>6</v>
      </c>
      <c r="S114" s="15" t="s">
        <v>13</v>
      </c>
      <c r="T114" s="16" t="s">
        <v>6</v>
      </c>
    </row>
    <row r="115" spans="1:20" ht="184.9">
      <c r="A115" s="23" t="s">
        <v>14</v>
      </c>
      <c r="B115" s="24">
        <v>3</v>
      </c>
      <c r="C115" s="24">
        <v>6</v>
      </c>
      <c r="D115" s="25">
        <v>26</v>
      </c>
      <c r="E115" s="18" t="s">
        <v>314</v>
      </c>
      <c r="F115" s="26" t="s">
        <v>19</v>
      </c>
      <c r="G115" s="18" t="s">
        <v>295</v>
      </c>
      <c r="H115" s="26" t="s">
        <v>19</v>
      </c>
      <c r="I115" s="18" t="s">
        <v>296</v>
      </c>
      <c r="J115" s="26" t="s">
        <v>19</v>
      </c>
      <c r="K115" s="18" t="s">
        <v>315</v>
      </c>
      <c r="L115" s="26" t="s">
        <v>281</v>
      </c>
      <c r="M115" s="18" t="s">
        <v>316</v>
      </c>
      <c r="N115" s="26" t="s">
        <v>84</v>
      </c>
      <c r="O115" s="18" t="s">
        <v>317</v>
      </c>
      <c r="P115" s="26" t="s">
        <v>84</v>
      </c>
      <c r="Q115" s="18" t="s">
        <v>318</v>
      </c>
      <c r="R115" s="26" t="s">
        <v>307</v>
      </c>
      <c r="S115" s="18"/>
      <c r="T115" s="16"/>
    </row>
    <row r="116" spans="1:20">
      <c r="A116" s="22"/>
      <c r="B116" s="22"/>
      <c r="C116" s="22"/>
      <c r="D116" s="22"/>
      <c r="E116" s="87" t="s">
        <v>276</v>
      </c>
      <c r="F116" s="88"/>
      <c r="G116" s="88"/>
      <c r="H116" s="88"/>
      <c r="I116" s="88"/>
      <c r="J116" s="88"/>
      <c r="K116" s="88"/>
      <c r="L116" s="88"/>
      <c r="M116" s="88"/>
      <c r="N116" s="88"/>
      <c r="O116" s="88"/>
      <c r="P116" s="88"/>
      <c r="Q116" s="88"/>
      <c r="R116" s="88"/>
      <c r="S116" s="88"/>
      <c r="T116" s="89"/>
    </row>
    <row r="117" spans="1:20">
      <c r="A117" s="22"/>
      <c r="B117" s="22"/>
      <c r="C117" s="22"/>
      <c r="D117" s="22"/>
      <c r="E117" s="10" t="s">
        <v>5</v>
      </c>
      <c r="F117" s="15" t="s">
        <v>6</v>
      </c>
      <c r="G117" s="15" t="s">
        <v>7</v>
      </c>
      <c r="H117" s="15" t="s">
        <v>6</v>
      </c>
      <c r="I117" s="15" t="s">
        <v>8</v>
      </c>
      <c r="J117" s="15" t="s">
        <v>6</v>
      </c>
      <c r="K117" s="15" t="s">
        <v>9</v>
      </c>
      <c r="L117" s="15" t="s">
        <v>6</v>
      </c>
      <c r="M117" s="15" t="s">
        <v>10</v>
      </c>
      <c r="N117" s="15" t="s">
        <v>6</v>
      </c>
      <c r="O117" s="15" t="s">
        <v>11</v>
      </c>
      <c r="P117" s="15" t="s">
        <v>6</v>
      </c>
      <c r="Q117" s="15" t="s">
        <v>12</v>
      </c>
      <c r="R117" s="15" t="s">
        <v>6</v>
      </c>
      <c r="S117" s="15" t="s">
        <v>13</v>
      </c>
      <c r="T117" s="16" t="s">
        <v>6</v>
      </c>
    </row>
    <row r="118" spans="1:20" ht="184.9">
      <c r="A118" s="23" t="s">
        <v>14</v>
      </c>
      <c r="B118" s="24">
        <v>3</v>
      </c>
      <c r="C118" s="24">
        <v>6</v>
      </c>
      <c r="D118" s="25">
        <v>27</v>
      </c>
      <c r="E118" s="18" t="s">
        <v>319</v>
      </c>
      <c r="F118" s="26" t="s">
        <v>19</v>
      </c>
      <c r="G118" s="18" t="s">
        <v>295</v>
      </c>
      <c r="H118" s="26" t="s">
        <v>19</v>
      </c>
      <c r="I118" s="18" t="s">
        <v>309</v>
      </c>
      <c r="J118" s="26" t="s">
        <v>19</v>
      </c>
      <c r="K118" s="18" t="s">
        <v>320</v>
      </c>
      <c r="L118" s="26" t="s">
        <v>281</v>
      </c>
      <c r="M118" s="18" t="s">
        <v>321</v>
      </c>
      <c r="N118" s="36" t="s">
        <v>322</v>
      </c>
      <c r="O118" s="18" t="s">
        <v>323</v>
      </c>
      <c r="P118" s="26" t="s">
        <v>84</v>
      </c>
      <c r="Q118" s="18" t="s">
        <v>324</v>
      </c>
      <c r="R118" s="26" t="s">
        <v>325</v>
      </c>
      <c r="S118" s="18"/>
      <c r="T118" s="16"/>
    </row>
    <row r="119" spans="1:20">
      <c r="A119" s="22"/>
      <c r="B119" s="22"/>
      <c r="C119" s="22"/>
      <c r="D119" s="22"/>
      <c r="E119" s="87" t="s">
        <v>326</v>
      </c>
      <c r="F119" s="88"/>
      <c r="G119" s="88"/>
      <c r="H119" s="88"/>
      <c r="I119" s="88"/>
      <c r="J119" s="88"/>
      <c r="K119" s="88"/>
      <c r="L119" s="88"/>
      <c r="M119" s="88"/>
      <c r="N119" s="88"/>
      <c r="O119" s="88"/>
      <c r="P119" s="88"/>
      <c r="Q119" s="88"/>
      <c r="R119" s="88"/>
      <c r="S119" s="88"/>
      <c r="T119" s="89"/>
    </row>
    <row r="120" spans="1:20">
      <c r="A120" s="22"/>
      <c r="B120" s="22"/>
      <c r="C120" s="22"/>
      <c r="D120" s="22"/>
      <c r="E120" s="10" t="s">
        <v>5</v>
      </c>
      <c r="F120" s="15" t="s">
        <v>6</v>
      </c>
      <c r="G120" s="15" t="s">
        <v>7</v>
      </c>
      <c r="H120" s="15" t="s">
        <v>6</v>
      </c>
      <c r="I120" s="15" t="s">
        <v>8</v>
      </c>
      <c r="J120" s="15" t="s">
        <v>6</v>
      </c>
      <c r="K120" s="15" t="s">
        <v>9</v>
      </c>
      <c r="L120" s="15" t="s">
        <v>6</v>
      </c>
      <c r="M120" s="15" t="s">
        <v>10</v>
      </c>
      <c r="N120" s="15" t="s">
        <v>6</v>
      </c>
      <c r="O120" s="15" t="s">
        <v>11</v>
      </c>
      <c r="P120" s="15" t="s">
        <v>6</v>
      </c>
      <c r="Q120" s="15" t="s">
        <v>12</v>
      </c>
      <c r="R120" s="15" t="s">
        <v>6</v>
      </c>
      <c r="S120" s="15" t="s">
        <v>13</v>
      </c>
      <c r="T120" s="16" t="s">
        <v>6</v>
      </c>
    </row>
    <row r="121" spans="1:20" ht="268.5" customHeight="1">
      <c r="A121" s="23" t="s">
        <v>14</v>
      </c>
      <c r="B121" s="24">
        <v>3</v>
      </c>
      <c r="C121" s="24">
        <v>7</v>
      </c>
      <c r="D121" s="25">
        <v>3</v>
      </c>
      <c r="E121" s="18" t="s">
        <v>327</v>
      </c>
      <c r="F121" s="26" t="s">
        <v>328</v>
      </c>
      <c r="G121" s="18" t="s">
        <v>329</v>
      </c>
      <c r="H121" s="26"/>
      <c r="I121" s="18" t="s">
        <v>330</v>
      </c>
      <c r="J121" s="26" t="s">
        <v>19</v>
      </c>
      <c r="K121" s="18" t="s">
        <v>331</v>
      </c>
      <c r="L121" s="26" t="s">
        <v>332</v>
      </c>
      <c r="M121" s="18" t="s">
        <v>333</v>
      </c>
      <c r="N121" s="26" t="s">
        <v>334</v>
      </c>
      <c r="O121" s="18" t="s">
        <v>335</v>
      </c>
      <c r="P121" s="26" t="s">
        <v>334</v>
      </c>
      <c r="Q121" s="18" t="s">
        <v>128</v>
      </c>
      <c r="R121" s="34" t="s">
        <v>336</v>
      </c>
      <c r="S121" s="18"/>
      <c r="T121" s="16"/>
    </row>
    <row r="122" spans="1:20">
      <c r="A122" s="22"/>
      <c r="B122" s="22"/>
      <c r="C122" s="22"/>
      <c r="D122" s="22"/>
      <c r="E122" s="87" t="s">
        <v>326</v>
      </c>
      <c r="F122" s="88"/>
      <c r="G122" s="88"/>
      <c r="H122" s="88"/>
      <c r="I122" s="88"/>
      <c r="J122" s="88"/>
      <c r="K122" s="88"/>
      <c r="L122" s="88"/>
      <c r="M122" s="88"/>
      <c r="N122" s="88"/>
      <c r="O122" s="88"/>
      <c r="P122" s="88"/>
      <c r="Q122" s="88"/>
      <c r="R122" s="88"/>
      <c r="S122" s="88"/>
      <c r="T122" s="89"/>
    </row>
    <row r="123" spans="1:20">
      <c r="A123" s="22"/>
      <c r="B123" s="22"/>
      <c r="C123" s="22"/>
      <c r="D123" s="22"/>
      <c r="E123" s="10" t="s">
        <v>5</v>
      </c>
      <c r="F123" s="15" t="s">
        <v>6</v>
      </c>
      <c r="G123" s="15" t="s">
        <v>7</v>
      </c>
      <c r="H123" s="15" t="s">
        <v>6</v>
      </c>
      <c r="I123" s="15" t="s">
        <v>8</v>
      </c>
      <c r="J123" s="15" t="s">
        <v>6</v>
      </c>
      <c r="K123" s="15" t="s">
        <v>9</v>
      </c>
      <c r="L123" s="15" t="s">
        <v>6</v>
      </c>
      <c r="M123" s="15" t="s">
        <v>10</v>
      </c>
      <c r="N123" s="15" t="s">
        <v>6</v>
      </c>
      <c r="O123" s="15" t="s">
        <v>11</v>
      </c>
      <c r="P123" s="15" t="s">
        <v>6</v>
      </c>
      <c r="Q123" s="15" t="s">
        <v>12</v>
      </c>
      <c r="R123" s="15" t="s">
        <v>6</v>
      </c>
      <c r="S123" s="15" t="s">
        <v>13</v>
      </c>
      <c r="T123" s="16" t="s">
        <v>6</v>
      </c>
    </row>
    <row r="124" spans="1:20" ht="279.75" customHeight="1">
      <c r="A124" s="23" t="s">
        <v>14</v>
      </c>
      <c r="B124" s="24">
        <v>3</v>
      </c>
      <c r="C124" s="24">
        <v>7</v>
      </c>
      <c r="D124" s="25">
        <v>5</v>
      </c>
      <c r="E124" s="18" t="s">
        <v>337</v>
      </c>
      <c r="F124" s="26" t="s">
        <v>338</v>
      </c>
      <c r="G124" s="18" t="s">
        <v>339</v>
      </c>
      <c r="H124" s="26"/>
      <c r="I124" s="18" t="s">
        <v>340</v>
      </c>
      <c r="J124" s="26" t="s">
        <v>19</v>
      </c>
      <c r="K124" s="18" t="s">
        <v>341</v>
      </c>
      <c r="L124" s="26" t="s">
        <v>342</v>
      </c>
      <c r="M124" s="18" t="s">
        <v>343</v>
      </c>
      <c r="N124" s="26" t="s">
        <v>19</v>
      </c>
      <c r="O124" s="18" t="s">
        <v>344</v>
      </c>
      <c r="P124" s="26" t="s">
        <v>19</v>
      </c>
      <c r="Q124" s="18" t="s">
        <v>128</v>
      </c>
      <c r="R124" s="34" t="s">
        <v>345</v>
      </c>
      <c r="S124" s="18"/>
      <c r="T124" s="16"/>
    </row>
    <row r="125" spans="1:20">
      <c r="A125" s="22"/>
      <c r="B125" s="22"/>
      <c r="C125" s="22"/>
      <c r="D125" s="22"/>
      <c r="E125" s="87" t="s">
        <v>326</v>
      </c>
      <c r="F125" s="88"/>
      <c r="G125" s="88"/>
      <c r="H125" s="88"/>
      <c r="I125" s="88"/>
      <c r="J125" s="88"/>
      <c r="K125" s="88"/>
      <c r="L125" s="88"/>
      <c r="M125" s="88"/>
      <c r="N125" s="88"/>
      <c r="O125" s="88"/>
      <c r="P125" s="88"/>
      <c r="Q125" s="88"/>
      <c r="R125" s="88"/>
      <c r="S125" s="88"/>
      <c r="T125" s="89"/>
    </row>
    <row r="126" spans="1:20">
      <c r="A126" s="22"/>
      <c r="B126" s="22"/>
      <c r="C126" s="22"/>
      <c r="D126" s="22"/>
      <c r="E126" s="10" t="s">
        <v>5</v>
      </c>
      <c r="F126" s="15" t="s">
        <v>6</v>
      </c>
      <c r="G126" s="15" t="s">
        <v>7</v>
      </c>
      <c r="H126" s="15" t="s">
        <v>6</v>
      </c>
      <c r="I126" s="15" t="s">
        <v>8</v>
      </c>
      <c r="J126" s="15" t="s">
        <v>6</v>
      </c>
      <c r="K126" s="15" t="s">
        <v>9</v>
      </c>
      <c r="L126" s="15" t="s">
        <v>6</v>
      </c>
      <c r="M126" s="15" t="s">
        <v>10</v>
      </c>
      <c r="N126" s="15" t="s">
        <v>6</v>
      </c>
      <c r="O126" s="15" t="s">
        <v>11</v>
      </c>
      <c r="P126" s="15" t="s">
        <v>6</v>
      </c>
      <c r="Q126" s="15" t="s">
        <v>12</v>
      </c>
      <c r="R126" s="15" t="s">
        <v>6</v>
      </c>
      <c r="S126" s="15" t="s">
        <v>13</v>
      </c>
      <c r="T126" s="16" t="s">
        <v>6</v>
      </c>
    </row>
    <row r="127" spans="1:20" ht="216.75" customHeight="1">
      <c r="A127" s="23" t="s">
        <v>14</v>
      </c>
      <c r="B127" s="24">
        <v>3</v>
      </c>
      <c r="C127" s="24">
        <v>7</v>
      </c>
      <c r="D127" s="25">
        <v>13</v>
      </c>
      <c r="E127" s="18" t="s">
        <v>346</v>
      </c>
      <c r="F127" s="26" t="s">
        <v>347</v>
      </c>
      <c r="G127" s="18" t="s">
        <v>348</v>
      </c>
      <c r="H127" s="26"/>
      <c r="I127" s="18" t="s">
        <v>349</v>
      </c>
      <c r="J127" s="26" t="s">
        <v>19</v>
      </c>
      <c r="K127" s="18" t="s">
        <v>350</v>
      </c>
      <c r="L127" s="26" t="s">
        <v>351</v>
      </c>
      <c r="M127" s="18" t="s">
        <v>352</v>
      </c>
      <c r="N127" s="26" t="s">
        <v>353</v>
      </c>
      <c r="O127" s="18" t="s">
        <v>354</v>
      </c>
      <c r="P127" s="26" t="s">
        <v>19</v>
      </c>
      <c r="Q127" s="18" t="s">
        <v>355</v>
      </c>
      <c r="R127" s="34" t="s">
        <v>356</v>
      </c>
      <c r="S127" s="18"/>
      <c r="T127" s="16"/>
    </row>
    <row r="128" spans="1:20">
      <c r="A128" s="22"/>
      <c r="B128" s="22"/>
      <c r="C128" s="22"/>
      <c r="D128" s="22"/>
      <c r="E128" s="87" t="s">
        <v>326</v>
      </c>
      <c r="F128" s="88"/>
      <c r="G128" s="88"/>
      <c r="H128" s="88"/>
      <c r="I128" s="88"/>
      <c r="J128" s="88"/>
      <c r="K128" s="88"/>
      <c r="L128" s="88"/>
      <c r="M128" s="88"/>
      <c r="N128" s="88"/>
      <c r="O128" s="88"/>
      <c r="P128" s="88"/>
      <c r="Q128" s="88"/>
      <c r="R128" s="88"/>
      <c r="S128" s="88"/>
      <c r="T128" s="89"/>
    </row>
    <row r="129" spans="1:20">
      <c r="A129" s="22"/>
      <c r="B129" s="22"/>
      <c r="C129" s="22"/>
      <c r="D129" s="22"/>
      <c r="E129" s="10" t="s">
        <v>5</v>
      </c>
      <c r="F129" s="15" t="s">
        <v>6</v>
      </c>
      <c r="G129" s="15" t="s">
        <v>7</v>
      </c>
      <c r="H129" s="15" t="s">
        <v>6</v>
      </c>
      <c r="I129" s="15" t="s">
        <v>8</v>
      </c>
      <c r="J129" s="15" t="s">
        <v>6</v>
      </c>
      <c r="K129" s="15" t="s">
        <v>9</v>
      </c>
      <c r="L129" s="15" t="s">
        <v>6</v>
      </c>
      <c r="M129" s="15" t="s">
        <v>10</v>
      </c>
      <c r="N129" s="15" t="s">
        <v>6</v>
      </c>
      <c r="O129" s="15" t="s">
        <v>11</v>
      </c>
      <c r="P129" s="15" t="s">
        <v>6</v>
      </c>
      <c r="Q129" s="15" t="s">
        <v>12</v>
      </c>
      <c r="R129" s="15" t="s">
        <v>6</v>
      </c>
      <c r="S129" s="15" t="s">
        <v>13</v>
      </c>
      <c r="T129" s="16" t="s">
        <v>6</v>
      </c>
    </row>
    <row r="130" spans="1:20" ht="207" customHeight="1">
      <c r="A130" s="23" t="s">
        <v>14</v>
      </c>
      <c r="B130" s="24">
        <v>3</v>
      </c>
      <c r="C130" s="24">
        <v>7</v>
      </c>
      <c r="D130" s="25">
        <v>18</v>
      </c>
      <c r="E130" s="18" t="s">
        <v>357</v>
      </c>
      <c r="F130" s="26" t="s">
        <v>358</v>
      </c>
      <c r="G130" s="18" t="s">
        <v>359</v>
      </c>
      <c r="H130" s="26"/>
      <c r="I130" s="18" t="s">
        <v>360</v>
      </c>
      <c r="J130" s="26" t="s">
        <v>19</v>
      </c>
      <c r="K130" s="18" t="s">
        <v>361</v>
      </c>
      <c r="L130" s="26" t="s">
        <v>19</v>
      </c>
      <c r="M130" s="18" t="s">
        <v>362</v>
      </c>
      <c r="N130" s="26" t="s">
        <v>363</v>
      </c>
      <c r="O130" s="18" t="s">
        <v>364</v>
      </c>
      <c r="P130" s="26" t="s">
        <v>19</v>
      </c>
      <c r="Q130" s="18" t="s">
        <v>128</v>
      </c>
      <c r="R130" s="34" t="s">
        <v>365</v>
      </c>
      <c r="S130" s="18"/>
      <c r="T130" s="16"/>
    </row>
    <row r="131" spans="1:20">
      <c r="A131" s="22"/>
      <c r="B131" s="22"/>
      <c r="C131" s="22"/>
      <c r="D131" s="22"/>
      <c r="E131" s="87" t="s">
        <v>326</v>
      </c>
      <c r="F131" s="88"/>
      <c r="G131" s="88"/>
      <c r="H131" s="88"/>
      <c r="I131" s="88"/>
      <c r="J131" s="88"/>
      <c r="K131" s="88"/>
      <c r="L131" s="88"/>
      <c r="M131" s="88"/>
      <c r="N131" s="88"/>
      <c r="O131" s="88"/>
      <c r="P131" s="88"/>
      <c r="Q131" s="88"/>
      <c r="R131" s="88"/>
      <c r="S131" s="88"/>
      <c r="T131" s="89"/>
    </row>
    <row r="132" spans="1:20">
      <c r="A132" s="22"/>
      <c r="B132" s="22"/>
      <c r="C132" s="22"/>
      <c r="D132" s="22"/>
      <c r="E132" s="10" t="s">
        <v>5</v>
      </c>
      <c r="F132" s="15" t="s">
        <v>6</v>
      </c>
      <c r="G132" s="15" t="s">
        <v>7</v>
      </c>
      <c r="H132" s="15" t="s">
        <v>6</v>
      </c>
      <c r="I132" s="15" t="s">
        <v>8</v>
      </c>
      <c r="J132" s="15" t="s">
        <v>6</v>
      </c>
      <c r="K132" s="15" t="s">
        <v>9</v>
      </c>
      <c r="L132" s="15" t="s">
        <v>6</v>
      </c>
      <c r="M132" s="15" t="s">
        <v>10</v>
      </c>
      <c r="N132" s="15" t="s">
        <v>6</v>
      </c>
      <c r="O132" s="15" t="s">
        <v>11</v>
      </c>
      <c r="P132" s="15" t="s">
        <v>6</v>
      </c>
      <c r="Q132" s="15" t="s">
        <v>12</v>
      </c>
      <c r="R132" s="15" t="s">
        <v>6</v>
      </c>
      <c r="S132" s="15" t="s">
        <v>13</v>
      </c>
      <c r="T132" s="16" t="s">
        <v>6</v>
      </c>
    </row>
    <row r="133" spans="1:20" ht="230.25" customHeight="1">
      <c r="A133" s="23" t="s">
        <v>14</v>
      </c>
      <c r="B133" s="24">
        <v>3</v>
      </c>
      <c r="C133" s="24">
        <v>7</v>
      </c>
      <c r="D133" s="25">
        <v>21</v>
      </c>
      <c r="E133" s="18" t="s">
        <v>366</v>
      </c>
      <c r="F133" s="26" t="s">
        <v>367</v>
      </c>
      <c r="G133" s="18" t="s">
        <v>368</v>
      </c>
      <c r="H133" s="26"/>
      <c r="I133" s="18" t="s">
        <v>369</v>
      </c>
      <c r="J133" s="26" t="s">
        <v>19</v>
      </c>
      <c r="K133" s="18" t="s">
        <v>370</v>
      </c>
      <c r="L133" s="26" t="s">
        <v>19</v>
      </c>
      <c r="M133" s="18" t="s">
        <v>371</v>
      </c>
      <c r="N133" s="26" t="s">
        <v>19</v>
      </c>
      <c r="O133" s="18" t="s">
        <v>372</v>
      </c>
      <c r="P133" s="26" t="s">
        <v>19</v>
      </c>
      <c r="Q133" s="18" t="s">
        <v>373</v>
      </c>
      <c r="R133" s="34" t="s">
        <v>374</v>
      </c>
      <c r="S133" s="18"/>
      <c r="T133" s="16"/>
    </row>
    <row r="134" spans="1:20">
      <c r="A134" s="22"/>
      <c r="B134" s="22"/>
      <c r="C134" s="22"/>
      <c r="D134" s="22"/>
      <c r="E134" s="87" t="s">
        <v>326</v>
      </c>
      <c r="F134" s="88"/>
      <c r="G134" s="88"/>
      <c r="H134" s="88"/>
      <c r="I134" s="88"/>
      <c r="J134" s="88"/>
      <c r="K134" s="88"/>
      <c r="L134" s="88"/>
      <c r="M134" s="88"/>
      <c r="N134" s="88"/>
      <c r="O134" s="88"/>
      <c r="P134" s="88"/>
      <c r="Q134" s="88"/>
      <c r="R134" s="88"/>
      <c r="S134" s="88"/>
      <c r="T134" s="89"/>
    </row>
    <row r="135" spans="1:20">
      <c r="A135" s="22"/>
      <c r="B135" s="22"/>
      <c r="C135" s="22"/>
      <c r="D135" s="22"/>
      <c r="E135" s="10" t="s">
        <v>5</v>
      </c>
      <c r="F135" s="15" t="s">
        <v>6</v>
      </c>
      <c r="G135" s="15" t="s">
        <v>7</v>
      </c>
      <c r="H135" s="15" t="s">
        <v>6</v>
      </c>
      <c r="I135" s="15" t="s">
        <v>8</v>
      </c>
      <c r="J135" s="15" t="s">
        <v>6</v>
      </c>
      <c r="K135" s="15" t="s">
        <v>9</v>
      </c>
      <c r="L135" s="15" t="s">
        <v>6</v>
      </c>
      <c r="M135" s="15" t="s">
        <v>10</v>
      </c>
      <c r="N135" s="15" t="s">
        <v>6</v>
      </c>
      <c r="O135" s="15" t="s">
        <v>11</v>
      </c>
      <c r="P135" s="15" t="s">
        <v>6</v>
      </c>
      <c r="Q135" s="15" t="s">
        <v>12</v>
      </c>
      <c r="R135" s="15" t="s">
        <v>6</v>
      </c>
      <c r="S135" s="15" t="s">
        <v>13</v>
      </c>
      <c r="T135" s="16" t="s">
        <v>6</v>
      </c>
    </row>
    <row r="136" spans="1:20" ht="271.5" customHeight="1">
      <c r="A136" s="23" t="s">
        <v>14</v>
      </c>
      <c r="B136" s="24">
        <v>3</v>
      </c>
      <c r="C136" s="24">
        <v>7</v>
      </c>
      <c r="D136" s="25">
        <v>23</v>
      </c>
      <c r="E136" s="18" t="s">
        <v>375</v>
      </c>
      <c r="F136" s="26" t="s">
        <v>376</v>
      </c>
      <c r="G136" s="18" t="s">
        <v>377</v>
      </c>
      <c r="H136" s="26"/>
      <c r="I136" s="18" t="s">
        <v>378</v>
      </c>
      <c r="J136" s="26" t="s">
        <v>19</v>
      </c>
      <c r="K136" s="18" t="s">
        <v>379</v>
      </c>
      <c r="L136" s="26" t="s">
        <v>380</v>
      </c>
      <c r="M136" s="18" t="s">
        <v>381</v>
      </c>
      <c r="N136" s="26" t="s">
        <v>382</v>
      </c>
      <c r="O136" s="18" t="s">
        <v>383</v>
      </c>
      <c r="P136" s="26" t="s">
        <v>19</v>
      </c>
      <c r="Q136" s="18" t="s">
        <v>384</v>
      </c>
      <c r="R136" s="34" t="s">
        <v>385</v>
      </c>
      <c r="S136" s="18"/>
      <c r="T136" s="16"/>
    </row>
    <row r="137" spans="1:20">
      <c r="A137" s="22"/>
      <c r="B137" s="22"/>
      <c r="C137" s="22"/>
      <c r="D137" s="22"/>
      <c r="E137" s="87" t="s">
        <v>326</v>
      </c>
      <c r="F137" s="88"/>
      <c r="G137" s="88"/>
      <c r="H137" s="88"/>
      <c r="I137" s="88"/>
      <c r="J137" s="88"/>
      <c r="K137" s="88"/>
      <c r="L137" s="88"/>
      <c r="M137" s="88"/>
      <c r="N137" s="88"/>
      <c r="O137" s="88"/>
      <c r="P137" s="88"/>
      <c r="Q137" s="88"/>
      <c r="R137" s="88"/>
      <c r="S137" s="88"/>
      <c r="T137" s="89"/>
    </row>
    <row r="138" spans="1:20">
      <c r="A138" s="22"/>
      <c r="B138" s="22"/>
      <c r="C138" s="22"/>
      <c r="D138" s="22"/>
      <c r="E138" s="10" t="s">
        <v>5</v>
      </c>
      <c r="F138" s="15" t="s">
        <v>6</v>
      </c>
      <c r="G138" s="15" t="s">
        <v>7</v>
      </c>
      <c r="H138" s="15" t="s">
        <v>6</v>
      </c>
      <c r="I138" s="15" t="s">
        <v>8</v>
      </c>
      <c r="J138" s="15" t="s">
        <v>6</v>
      </c>
      <c r="K138" s="15" t="s">
        <v>9</v>
      </c>
      <c r="L138" s="15" t="s">
        <v>6</v>
      </c>
      <c r="M138" s="15" t="s">
        <v>10</v>
      </c>
      <c r="N138" s="15" t="s">
        <v>6</v>
      </c>
      <c r="O138" s="15" t="s">
        <v>11</v>
      </c>
      <c r="P138" s="15" t="s">
        <v>6</v>
      </c>
      <c r="Q138" s="15" t="s">
        <v>12</v>
      </c>
      <c r="R138" s="15" t="s">
        <v>6</v>
      </c>
      <c r="S138" s="15" t="s">
        <v>13</v>
      </c>
      <c r="T138" s="16" t="s">
        <v>6</v>
      </c>
    </row>
    <row r="139" spans="1:20" ht="267" customHeight="1">
      <c r="A139" s="23" t="s">
        <v>14</v>
      </c>
      <c r="B139" s="24">
        <v>3</v>
      </c>
      <c r="C139" s="24">
        <v>7</v>
      </c>
      <c r="D139" s="25">
        <v>28</v>
      </c>
      <c r="E139" s="18" t="s">
        <v>386</v>
      </c>
      <c r="F139" s="26" t="s">
        <v>387</v>
      </c>
      <c r="G139" s="18" t="s">
        <v>388</v>
      </c>
      <c r="H139" s="26"/>
      <c r="I139" s="18" t="s">
        <v>389</v>
      </c>
      <c r="J139" s="26" t="s">
        <v>19</v>
      </c>
      <c r="K139" s="18" t="s">
        <v>390</v>
      </c>
      <c r="L139" s="26" t="s">
        <v>19</v>
      </c>
      <c r="M139" s="18" t="s">
        <v>391</v>
      </c>
      <c r="N139" s="26" t="s">
        <v>392</v>
      </c>
      <c r="O139" s="18" t="s">
        <v>393</v>
      </c>
      <c r="P139" s="26" t="s">
        <v>19</v>
      </c>
      <c r="Q139" s="18" t="s">
        <v>394</v>
      </c>
      <c r="R139" s="34" t="s">
        <v>395</v>
      </c>
      <c r="S139" s="18"/>
      <c r="T139" s="16"/>
    </row>
    <row r="140" spans="1:20">
      <c r="A140" s="22"/>
      <c r="B140" s="22"/>
      <c r="C140" s="22"/>
      <c r="D140" s="22"/>
      <c r="E140" s="87" t="s">
        <v>396</v>
      </c>
      <c r="F140" s="88"/>
      <c r="G140" s="88"/>
      <c r="H140" s="88"/>
      <c r="I140" s="88"/>
      <c r="J140" s="88"/>
      <c r="K140" s="88"/>
      <c r="L140" s="88"/>
      <c r="M140" s="88"/>
      <c r="N140" s="88"/>
      <c r="O140" s="88"/>
      <c r="P140" s="88"/>
      <c r="Q140" s="88"/>
      <c r="R140" s="88"/>
      <c r="S140" s="88"/>
      <c r="T140" s="89"/>
    </row>
    <row r="141" spans="1:20">
      <c r="A141" s="22"/>
      <c r="B141" s="22"/>
      <c r="C141" s="22"/>
      <c r="D141" s="22"/>
      <c r="E141" s="10" t="s">
        <v>5</v>
      </c>
      <c r="F141" s="15" t="s">
        <v>6</v>
      </c>
      <c r="G141" s="15" t="s">
        <v>7</v>
      </c>
      <c r="H141" s="15" t="s">
        <v>6</v>
      </c>
      <c r="I141" s="15" t="s">
        <v>8</v>
      </c>
      <c r="J141" s="15" t="s">
        <v>6</v>
      </c>
      <c r="K141" s="15" t="s">
        <v>9</v>
      </c>
      <c r="L141" s="15" t="s">
        <v>6</v>
      </c>
      <c r="M141" s="15" t="s">
        <v>10</v>
      </c>
      <c r="N141" s="15" t="s">
        <v>6</v>
      </c>
      <c r="O141" s="15" t="s">
        <v>11</v>
      </c>
      <c r="P141" s="15" t="s">
        <v>6</v>
      </c>
      <c r="Q141" s="15" t="s">
        <v>12</v>
      </c>
      <c r="R141" s="15" t="s">
        <v>6</v>
      </c>
      <c r="S141" s="15" t="s">
        <v>13</v>
      </c>
      <c r="T141" s="16" t="s">
        <v>6</v>
      </c>
    </row>
    <row r="142" spans="1:20" ht="183" customHeight="1">
      <c r="A142" s="23" t="s">
        <v>14</v>
      </c>
      <c r="B142" s="24">
        <v>3</v>
      </c>
      <c r="C142" s="24">
        <v>8</v>
      </c>
      <c r="D142" s="25">
        <v>3</v>
      </c>
      <c r="E142" s="18" t="s">
        <v>397</v>
      </c>
      <c r="F142" s="26" t="s">
        <v>19</v>
      </c>
      <c r="G142" s="18" t="s">
        <v>398</v>
      </c>
      <c r="H142" s="36" t="s">
        <v>399</v>
      </c>
      <c r="I142" s="18" t="s">
        <v>400</v>
      </c>
      <c r="J142" s="26" t="s">
        <v>19</v>
      </c>
      <c r="K142" s="18" t="s">
        <v>401</v>
      </c>
      <c r="L142" s="37" t="s">
        <v>402</v>
      </c>
      <c r="M142" s="18" t="s">
        <v>403</v>
      </c>
      <c r="N142" s="26" t="s">
        <v>19</v>
      </c>
      <c r="O142" s="18" t="s">
        <v>404</v>
      </c>
      <c r="P142" s="26" t="s">
        <v>19</v>
      </c>
      <c r="Q142" s="29" t="s">
        <v>128</v>
      </c>
      <c r="R142" s="26" t="s">
        <v>19</v>
      </c>
      <c r="S142" s="18"/>
      <c r="T142" s="16"/>
    </row>
    <row r="143" spans="1:20">
      <c r="A143" s="22"/>
      <c r="B143" s="22"/>
      <c r="C143" s="22"/>
      <c r="D143" s="22"/>
      <c r="E143" s="87" t="s">
        <v>396</v>
      </c>
      <c r="F143" s="88"/>
      <c r="G143" s="88"/>
      <c r="H143" s="88"/>
      <c r="I143" s="88"/>
      <c r="J143" s="88"/>
      <c r="K143" s="88"/>
      <c r="L143" s="88"/>
      <c r="M143" s="88"/>
      <c r="N143" s="88"/>
      <c r="O143" s="88"/>
      <c r="P143" s="88"/>
      <c r="Q143" s="88"/>
      <c r="R143" s="88"/>
      <c r="S143" s="88"/>
      <c r="T143" s="89"/>
    </row>
    <row r="144" spans="1:20">
      <c r="A144" s="22"/>
      <c r="B144" s="22"/>
      <c r="C144" s="22"/>
      <c r="D144" s="22"/>
      <c r="E144" s="10" t="s">
        <v>5</v>
      </c>
      <c r="F144" s="15" t="s">
        <v>6</v>
      </c>
      <c r="G144" s="15" t="s">
        <v>7</v>
      </c>
      <c r="H144" s="15" t="s">
        <v>6</v>
      </c>
      <c r="I144" s="15" t="s">
        <v>8</v>
      </c>
      <c r="J144" s="15" t="s">
        <v>6</v>
      </c>
      <c r="K144" s="15" t="s">
        <v>9</v>
      </c>
      <c r="L144" s="15" t="s">
        <v>6</v>
      </c>
      <c r="M144" s="15" t="s">
        <v>10</v>
      </c>
      <c r="N144" s="15" t="s">
        <v>6</v>
      </c>
      <c r="O144" s="15" t="s">
        <v>11</v>
      </c>
      <c r="P144" s="15" t="s">
        <v>6</v>
      </c>
      <c r="Q144" s="15" t="s">
        <v>12</v>
      </c>
      <c r="R144" s="15" t="s">
        <v>6</v>
      </c>
      <c r="S144" s="15" t="s">
        <v>13</v>
      </c>
      <c r="T144" s="16" t="s">
        <v>6</v>
      </c>
    </row>
    <row r="145" spans="1:20" ht="192.75" customHeight="1">
      <c r="A145" s="23" t="s">
        <v>14</v>
      </c>
      <c r="B145" s="24">
        <v>3</v>
      </c>
      <c r="C145" s="24">
        <v>8</v>
      </c>
      <c r="D145" s="25">
        <v>6</v>
      </c>
      <c r="E145" s="18" t="s">
        <v>405</v>
      </c>
      <c r="F145" s="26" t="s">
        <v>19</v>
      </c>
      <c r="G145" s="18" t="s">
        <v>406</v>
      </c>
      <c r="H145" s="36" t="s">
        <v>399</v>
      </c>
      <c r="I145" s="18" t="s">
        <v>407</v>
      </c>
      <c r="J145" s="26" t="s">
        <v>19</v>
      </c>
      <c r="K145" s="18" t="s">
        <v>408</v>
      </c>
      <c r="L145" s="37" t="s">
        <v>402</v>
      </c>
      <c r="M145" s="18" t="s">
        <v>409</v>
      </c>
      <c r="N145" s="26" t="s">
        <v>19</v>
      </c>
      <c r="O145" s="18" t="s">
        <v>410</v>
      </c>
      <c r="P145" s="26" t="s">
        <v>19</v>
      </c>
      <c r="Q145" s="18" t="s">
        <v>411</v>
      </c>
      <c r="R145" s="34" t="s">
        <v>412</v>
      </c>
      <c r="S145" s="18"/>
      <c r="T145" s="16"/>
    </row>
    <row r="146" spans="1:20">
      <c r="A146" s="22"/>
      <c r="B146" s="22"/>
      <c r="C146" s="22"/>
      <c r="D146" s="22"/>
      <c r="E146" s="87" t="s">
        <v>396</v>
      </c>
      <c r="F146" s="88"/>
      <c r="G146" s="88"/>
      <c r="H146" s="88"/>
      <c r="I146" s="88"/>
      <c r="J146" s="88"/>
      <c r="K146" s="88"/>
      <c r="L146" s="88"/>
      <c r="M146" s="88"/>
      <c r="N146" s="88"/>
      <c r="O146" s="88"/>
      <c r="P146" s="88"/>
      <c r="Q146" s="88"/>
      <c r="R146" s="88"/>
      <c r="S146" s="88"/>
      <c r="T146" s="89"/>
    </row>
    <row r="147" spans="1:20">
      <c r="A147" s="22"/>
      <c r="B147" s="22"/>
      <c r="C147" s="22"/>
      <c r="D147" s="22"/>
      <c r="E147" s="10" t="s">
        <v>5</v>
      </c>
      <c r="F147" s="15" t="s">
        <v>6</v>
      </c>
      <c r="G147" s="15" t="s">
        <v>7</v>
      </c>
      <c r="H147" s="15" t="s">
        <v>6</v>
      </c>
      <c r="I147" s="15" t="s">
        <v>8</v>
      </c>
      <c r="J147" s="15" t="s">
        <v>6</v>
      </c>
      <c r="K147" s="15" t="s">
        <v>9</v>
      </c>
      <c r="L147" s="15" t="s">
        <v>6</v>
      </c>
      <c r="M147" s="15" t="s">
        <v>10</v>
      </c>
      <c r="N147" s="15" t="s">
        <v>6</v>
      </c>
      <c r="O147" s="15" t="s">
        <v>11</v>
      </c>
      <c r="P147" s="15" t="s">
        <v>6</v>
      </c>
      <c r="Q147" s="15" t="s">
        <v>12</v>
      </c>
      <c r="R147" s="15" t="s">
        <v>6</v>
      </c>
      <c r="S147" s="15" t="s">
        <v>13</v>
      </c>
      <c r="T147" s="16" t="s">
        <v>6</v>
      </c>
    </row>
    <row r="148" spans="1:20" ht="192.75" customHeight="1">
      <c r="A148" s="23" t="s">
        <v>14</v>
      </c>
      <c r="B148" s="24">
        <v>3</v>
      </c>
      <c r="C148" s="24">
        <v>8</v>
      </c>
      <c r="D148" s="25">
        <v>10</v>
      </c>
      <c r="E148" s="18" t="s">
        <v>413</v>
      </c>
      <c r="F148" s="26" t="s">
        <v>19</v>
      </c>
      <c r="G148" s="18" t="s">
        <v>414</v>
      </c>
      <c r="H148" s="36" t="s">
        <v>399</v>
      </c>
      <c r="I148" s="18" t="s">
        <v>415</v>
      </c>
      <c r="J148" s="26" t="s">
        <v>416</v>
      </c>
      <c r="K148" s="18" t="s">
        <v>417</v>
      </c>
      <c r="L148" s="37" t="s">
        <v>402</v>
      </c>
      <c r="M148" s="18" t="s">
        <v>418</v>
      </c>
      <c r="N148" s="26" t="s">
        <v>19</v>
      </c>
      <c r="O148" s="18" t="s">
        <v>419</v>
      </c>
      <c r="P148" s="34" t="s">
        <v>420</v>
      </c>
      <c r="Q148" s="18" t="s">
        <v>128</v>
      </c>
      <c r="R148" s="26" t="s">
        <v>19</v>
      </c>
      <c r="S148" s="18"/>
      <c r="T148" s="16"/>
    </row>
    <row r="149" spans="1:20">
      <c r="A149" s="22"/>
      <c r="B149" s="22"/>
      <c r="C149" s="22"/>
      <c r="D149" s="22"/>
      <c r="E149" s="87" t="s">
        <v>396</v>
      </c>
      <c r="F149" s="88"/>
      <c r="G149" s="88"/>
      <c r="H149" s="88"/>
      <c r="I149" s="88"/>
      <c r="J149" s="88"/>
      <c r="K149" s="88"/>
      <c r="L149" s="88"/>
      <c r="M149" s="88"/>
      <c r="N149" s="88"/>
      <c r="O149" s="88"/>
      <c r="P149" s="88"/>
      <c r="Q149" s="88"/>
      <c r="R149" s="88"/>
      <c r="S149" s="88"/>
      <c r="T149" s="89"/>
    </row>
    <row r="150" spans="1:20">
      <c r="A150" s="22"/>
      <c r="B150" s="22"/>
      <c r="C150" s="22"/>
      <c r="D150" s="22"/>
      <c r="E150" s="10" t="s">
        <v>5</v>
      </c>
      <c r="F150" s="15" t="s">
        <v>6</v>
      </c>
      <c r="G150" s="15" t="s">
        <v>7</v>
      </c>
      <c r="H150" s="15" t="s">
        <v>6</v>
      </c>
      <c r="I150" s="15" t="s">
        <v>8</v>
      </c>
      <c r="J150" s="15" t="s">
        <v>6</v>
      </c>
      <c r="K150" s="15" t="s">
        <v>9</v>
      </c>
      <c r="L150" s="15" t="s">
        <v>6</v>
      </c>
      <c r="M150" s="15" t="s">
        <v>10</v>
      </c>
      <c r="N150" s="15" t="s">
        <v>6</v>
      </c>
      <c r="O150" s="15" t="s">
        <v>11</v>
      </c>
      <c r="P150" s="15" t="s">
        <v>6</v>
      </c>
      <c r="Q150" s="15" t="s">
        <v>12</v>
      </c>
      <c r="R150" s="15" t="s">
        <v>6</v>
      </c>
      <c r="S150" s="15" t="s">
        <v>13</v>
      </c>
      <c r="T150" s="16" t="s">
        <v>6</v>
      </c>
    </row>
    <row r="151" spans="1:20" ht="191.25" customHeight="1">
      <c r="A151" s="23" t="s">
        <v>14</v>
      </c>
      <c r="B151" s="24">
        <v>3</v>
      </c>
      <c r="C151" s="24">
        <v>8</v>
      </c>
      <c r="D151" s="25">
        <v>19</v>
      </c>
      <c r="E151" s="18" t="s">
        <v>421</v>
      </c>
      <c r="F151" s="26" t="s">
        <v>19</v>
      </c>
      <c r="G151" s="18" t="s">
        <v>422</v>
      </c>
      <c r="H151" s="36" t="s">
        <v>399</v>
      </c>
      <c r="I151" s="18" t="s">
        <v>423</v>
      </c>
      <c r="J151" s="26" t="s">
        <v>424</v>
      </c>
      <c r="K151" s="18" t="s">
        <v>425</v>
      </c>
      <c r="L151" s="37" t="s">
        <v>402</v>
      </c>
      <c r="M151" s="18" t="s">
        <v>426</v>
      </c>
      <c r="N151" s="26" t="s">
        <v>19</v>
      </c>
      <c r="O151" s="18" t="s">
        <v>427</v>
      </c>
      <c r="P151" s="26" t="s">
        <v>19</v>
      </c>
      <c r="Q151" s="18" t="s">
        <v>428</v>
      </c>
      <c r="R151" s="34" t="s">
        <v>412</v>
      </c>
      <c r="S151" s="18"/>
      <c r="T151" s="16"/>
    </row>
    <row r="152" spans="1:20">
      <c r="A152" s="22"/>
      <c r="B152" s="22"/>
      <c r="C152" s="22"/>
      <c r="D152" s="22"/>
      <c r="E152" s="87" t="s">
        <v>396</v>
      </c>
      <c r="F152" s="88"/>
      <c r="G152" s="88"/>
      <c r="H152" s="88"/>
      <c r="I152" s="88"/>
      <c r="J152" s="88"/>
      <c r="K152" s="88"/>
      <c r="L152" s="88"/>
      <c r="M152" s="88"/>
      <c r="N152" s="88"/>
      <c r="O152" s="88"/>
      <c r="P152" s="88"/>
      <c r="Q152" s="88"/>
      <c r="R152" s="88"/>
      <c r="S152" s="88"/>
      <c r="T152" s="89"/>
    </row>
    <row r="153" spans="1:20">
      <c r="A153" s="22"/>
      <c r="B153" s="22"/>
      <c r="C153" s="22"/>
      <c r="D153" s="22"/>
      <c r="E153" s="10" t="s">
        <v>5</v>
      </c>
      <c r="F153" s="15" t="s">
        <v>6</v>
      </c>
      <c r="G153" s="15" t="s">
        <v>7</v>
      </c>
      <c r="H153" s="15" t="s">
        <v>6</v>
      </c>
      <c r="I153" s="15" t="s">
        <v>8</v>
      </c>
      <c r="J153" s="15" t="s">
        <v>6</v>
      </c>
      <c r="K153" s="15" t="s">
        <v>9</v>
      </c>
      <c r="L153" s="15" t="s">
        <v>6</v>
      </c>
      <c r="M153" s="15" t="s">
        <v>10</v>
      </c>
      <c r="N153" s="15" t="s">
        <v>6</v>
      </c>
      <c r="O153" s="15" t="s">
        <v>11</v>
      </c>
      <c r="P153" s="15" t="s">
        <v>6</v>
      </c>
      <c r="Q153" s="15" t="s">
        <v>12</v>
      </c>
      <c r="R153" s="15" t="s">
        <v>6</v>
      </c>
      <c r="S153" s="15" t="s">
        <v>13</v>
      </c>
      <c r="T153" s="16" t="s">
        <v>6</v>
      </c>
    </row>
    <row r="154" spans="1:20" ht="184.9">
      <c r="A154" s="23" t="s">
        <v>14</v>
      </c>
      <c r="B154" s="24">
        <v>3</v>
      </c>
      <c r="C154" s="24">
        <v>8</v>
      </c>
      <c r="D154" s="25">
        <v>24</v>
      </c>
      <c r="E154" s="18" t="s">
        <v>429</v>
      </c>
      <c r="F154" s="26" t="s">
        <v>19</v>
      </c>
      <c r="G154" s="18" t="s">
        <v>430</v>
      </c>
      <c r="H154" s="36" t="s">
        <v>399</v>
      </c>
      <c r="I154" s="18" t="s">
        <v>431</v>
      </c>
      <c r="J154" s="26" t="s">
        <v>424</v>
      </c>
      <c r="K154" s="18" t="s">
        <v>432</v>
      </c>
      <c r="L154" s="37" t="s">
        <v>402</v>
      </c>
      <c r="M154" s="18" t="s">
        <v>433</v>
      </c>
      <c r="N154" s="26" t="s">
        <v>19</v>
      </c>
      <c r="O154" s="18" t="s">
        <v>434</v>
      </c>
      <c r="P154" s="26" t="s">
        <v>19</v>
      </c>
      <c r="Q154" s="18" t="s">
        <v>128</v>
      </c>
      <c r="R154" s="26" t="s">
        <v>19</v>
      </c>
      <c r="S154" s="18"/>
      <c r="T154" s="16"/>
    </row>
    <row r="155" spans="1:20">
      <c r="A155" s="22"/>
      <c r="B155" s="22"/>
      <c r="C155" s="22"/>
      <c r="D155" s="22"/>
      <c r="E155" s="87" t="s">
        <v>396</v>
      </c>
      <c r="F155" s="88"/>
      <c r="G155" s="88"/>
      <c r="H155" s="88"/>
      <c r="I155" s="88"/>
      <c r="J155" s="88"/>
      <c r="K155" s="88"/>
      <c r="L155" s="88"/>
      <c r="M155" s="88"/>
      <c r="N155" s="88"/>
      <c r="O155" s="88"/>
      <c r="P155" s="88"/>
      <c r="Q155" s="88"/>
      <c r="R155" s="88"/>
      <c r="S155" s="88"/>
      <c r="T155" s="89"/>
    </row>
    <row r="156" spans="1:20">
      <c r="A156" s="22"/>
      <c r="B156" s="22"/>
      <c r="C156" s="22"/>
      <c r="D156" s="22"/>
      <c r="E156" s="10" t="s">
        <v>5</v>
      </c>
      <c r="F156" s="15" t="s">
        <v>6</v>
      </c>
      <c r="G156" s="15" t="s">
        <v>7</v>
      </c>
      <c r="H156" s="15" t="s">
        <v>6</v>
      </c>
      <c r="I156" s="15" t="s">
        <v>8</v>
      </c>
      <c r="J156" s="15" t="s">
        <v>6</v>
      </c>
      <c r="K156" s="15" t="s">
        <v>9</v>
      </c>
      <c r="L156" s="15" t="s">
        <v>6</v>
      </c>
      <c r="M156" s="15" t="s">
        <v>10</v>
      </c>
      <c r="N156" s="15" t="s">
        <v>6</v>
      </c>
      <c r="O156" s="15" t="s">
        <v>11</v>
      </c>
      <c r="P156" s="15" t="s">
        <v>6</v>
      </c>
      <c r="Q156" s="15" t="s">
        <v>12</v>
      </c>
      <c r="R156" s="15" t="s">
        <v>6</v>
      </c>
      <c r="S156" s="15" t="s">
        <v>13</v>
      </c>
      <c r="T156" s="16" t="s">
        <v>6</v>
      </c>
    </row>
    <row r="157" spans="1:20" ht="177" customHeight="1">
      <c r="A157" s="23" t="s">
        <v>14</v>
      </c>
      <c r="B157" s="24">
        <v>3</v>
      </c>
      <c r="C157" s="24">
        <v>8</v>
      </c>
      <c r="D157" s="25">
        <v>26</v>
      </c>
      <c r="E157" s="18" t="s">
        <v>435</v>
      </c>
      <c r="F157" s="26" t="s">
        <v>19</v>
      </c>
      <c r="G157" s="18" t="s">
        <v>436</v>
      </c>
      <c r="H157" s="36" t="s">
        <v>399</v>
      </c>
      <c r="I157" s="18" t="s">
        <v>437</v>
      </c>
      <c r="J157" s="26" t="s">
        <v>424</v>
      </c>
      <c r="K157" s="18" t="s">
        <v>438</v>
      </c>
      <c r="L157" s="37" t="s">
        <v>402</v>
      </c>
      <c r="M157" s="18" t="s">
        <v>439</v>
      </c>
      <c r="N157" s="34" t="s">
        <v>440</v>
      </c>
      <c r="O157" s="18" t="s">
        <v>441</v>
      </c>
      <c r="P157" s="34" t="s">
        <v>442</v>
      </c>
      <c r="Q157" s="18" t="s">
        <v>128</v>
      </c>
      <c r="R157" s="26" t="s">
        <v>19</v>
      </c>
      <c r="S157" s="18"/>
      <c r="T157" s="16"/>
    </row>
    <row r="158" spans="1:20">
      <c r="A158" s="22"/>
      <c r="B158" s="22"/>
      <c r="C158" s="22"/>
      <c r="D158" s="22"/>
      <c r="E158" s="87" t="s">
        <v>396</v>
      </c>
      <c r="F158" s="88"/>
      <c r="G158" s="88"/>
      <c r="H158" s="88"/>
      <c r="I158" s="88"/>
      <c r="J158" s="88"/>
      <c r="K158" s="88"/>
      <c r="L158" s="88"/>
      <c r="M158" s="88"/>
      <c r="N158" s="88"/>
      <c r="O158" s="88"/>
      <c r="P158" s="88"/>
      <c r="Q158" s="88"/>
      <c r="R158" s="88"/>
      <c r="S158" s="88"/>
      <c r="T158" s="89"/>
    </row>
    <row r="159" spans="1:20">
      <c r="A159" s="22"/>
      <c r="B159" s="22"/>
      <c r="C159" s="22"/>
      <c r="D159" s="22"/>
      <c r="E159" s="10" t="s">
        <v>5</v>
      </c>
      <c r="F159" s="15" t="s">
        <v>6</v>
      </c>
      <c r="G159" s="15" t="s">
        <v>7</v>
      </c>
      <c r="H159" s="15" t="s">
        <v>6</v>
      </c>
      <c r="I159" s="15" t="s">
        <v>8</v>
      </c>
      <c r="J159" s="15" t="s">
        <v>6</v>
      </c>
      <c r="K159" s="15" t="s">
        <v>9</v>
      </c>
      <c r="L159" s="15" t="s">
        <v>6</v>
      </c>
      <c r="M159" s="15" t="s">
        <v>10</v>
      </c>
      <c r="N159" s="15" t="s">
        <v>6</v>
      </c>
      <c r="O159" s="15" t="s">
        <v>11</v>
      </c>
      <c r="P159" s="15" t="s">
        <v>6</v>
      </c>
      <c r="Q159" s="15" t="s">
        <v>12</v>
      </c>
      <c r="R159" s="15" t="s">
        <v>6</v>
      </c>
      <c r="S159" s="15" t="s">
        <v>13</v>
      </c>
      <c r="T159" s="16" t="s">
        <v>6</v>
      </c>
    </row>
    <row r="160" spans="1:20" ht="163.5" customHeight="1">
      <c r="A160" s="23" t="s">
        <v>14</v>
      </c>
      <c r="B160" s="24">
        <v>3</v>
      </c>
      <c r="C160" s="24">
        <v>8</v>
      </c>
      <c r="D160" s="25">
        <v>29</v>
      </c>
      <c r="E160" s="18" t="s">
        <v>443</v>
      </c>
      <c r="F160" s="26" t="s">
        <v>19</v>
      </c>
      <c r="G160" s="18" t="s">
        <v>444</v>
      </c>
      <c r="H160" s="36" t="s">
        <v>399</v>
      </c>
      <c r="I160" s="18" t="s">
        <v>445</v>
      </c>
      <c r="J160" s="26" t="s">
        <v>424</v>
      </c>
      <c r="K160" s="18" t="s">
        <v>446</v>
      </c>
      <c r="L160" s="37" t="s">
        <v>402</v>
      </c>
      <c r="M160" s="18" t="s">
        <v>447</v>
      </c>
      <c r="N160" s="26" t="s">
        <v>19</v>
      </c>
      <c r="O160" s="18" t="s">
        <v>448</v>
      </c>
      <c r="P160" s="26" t="s">
        <v>19</v>
      </c>
      <c r="Q160" s="18" t="s">
        <v>128</v>
      </c>
      <c r="R160" s="26" t="s">
        <v>19</v>
      </c>
      <c r="S160" s="18"/>
      <c r="T160" s="16"/>
    </row>
    <row r="161" spans="1:20">
      <c r="A161" s="22"/>
      <c r="B161" s="22"/>
      <c r="C161" s="22"/>
      <c r="D161" s="22"/>
      <c r="E161" s="87" t="s">
        <v>449</v>
      </c>
      <c r="F161" s="88"/>
      <c r="G161" s="88"/>
      <c r="H161" s="88"/>
      <c r="I161" s="88"/>
      <c r="J161" s="88"/>
      <c r="K161" s="88"/>
      <c r="L161" s="88"/>
      <c r="M161" s="88"/>
      <c r="N161" s="88"/>
      <c r="O161" s="88"/>
      <c r="P161" s="88"/>
      <c r="Q161" s="88"/>
      <c r="R161" s="88"/>
      <c r="S161" s="88"/>
      <c r="T161" s="89"/>
    </row>
    <row r="162" spans="1:20">
      <c r="A162" s="22"/>
      <c r="B162" s="22"/>
      <c r="C162" s="22"/>
      <c r="D162" s="22"/>
      <c r="E162" s="10" t="s">
        <v>5</v>
      </c>
      <c r="F162" s="15" t="s">
        <v>6</v>
      </c>
      <c r="G162" s="15" t="s">
        <v>7</v>
      </c>
      <c r="H162" s="15" t="s">
        <v>6</v>
      </c>
      <c r="I162" s="15" t="s">
        <v>8</v>
      </c>
      <c r="J162" s="15" t="s">
        <v>6</v>
      </c>
      <c r="K162" s="15" t="s">
        <v>9</v>
      </c>
      <c r="L162" s="15" t="s">
        <v>6</v>
      </c>
      <c r="M162" s="15" t="s">
        <v>10</v>
      </c>
      <c r="N162" s="15" t="s">
        <v>6</v>
      </c>
      <c r="O162" s="15" t="s">
        <v>11</v>
      </c>
      <c r="P162" s="15" t="s">
        <v>6</v>
      </c>
      <c r="Q162" s="15" t="s">
        <v>12</v>
      </c>
      <c r="R162" s="15" t="s">
        <v>6</v>
      </c>
      <c r="S162" s="15" t="s">
        <v>13</v>
      </c>
      <c r="T162" s="16" t="s">
        <v>6</v>
      </c>
    </row>
    <row r="163" spans="1:20" ht="211.15">
      <c r="A163" s="23" t="s">
        <v>14</v>
      </c>
      <c r="B163" s="24">
        <v>3</v>
      </c>
      <c r="C163" s="24">
        <v>9</v>
      </c>
      <c r="D163" s="25">
        <v>3</v>
      </c>
      <c r="E163" s="18" t="s">
        <v>450</v>
      </c>
      <c r="F163" s="26" t="s">
        <v>451</v>
      </c>
      <c r="G163" s="18" t="s">
        <v>452</v>
      </c>
      <c r="H163" s="36" t="s">
        <v>453</v>
      </c>
      <c r="I163" s="18" t="s">
        <v>454</v>
      </c>
      <c r="J163" s="26" t="s">
        <v>451</v>
      </c>
      <c r="K163" s="18" t="s">
        <v>455</v>
      </c>
      <c r="L163" s="26" t="s">
        <v>451</v>
      </c>
      <c r="M163" s="18" t="s">
        <v>456</v>
      </c>
      <c r="N163" s="26" t="s">
        <v>451</v>
      </c>
      <c r="O163" s="18" t="s">
        <v>457</v>
      </c>
      <c r="P163" s="26" t="s">
        <v>451</v>
      </c>
      <c r="Q163" s="18" t="s">
        <v>458</v>
      </c>
      <c r="R163" s="26" t="s">
        <v>459</v>
      </c>
      <c r="S163" s="18"/>
      <c r="T163" s="16"/>
    </row>
    <row r="164" spans="1:20">
      <c r="A164" s="22"/>
      <c r="B164" s="22"/>
      <c r="C164" s="22"/>
      <c r="D164" s="22"/>
      <c r="E164" s="87" t="s">
        <v>449</v>
      </c>
      <c r="F164" s="88"/>
      <c r="G164" s="88"/>
      <c r="H164" s="88"/>
      <c r="I164" s="88"/>
      <c r="J164" s="88"/>
      <c r="K164" s="88"/>
      <c r="L164" s="88"/>
      <c r="M164" s="88"/>
      <c r="N164" s="88"/>
      <c r="O164" s="88"/>
      <c r="P164" s="88"/>
      <c r="Q164" s="88"/>
      <c r="R164" s="88"/>
      <c r="S164" s="88"/>
      <c r="T164" s="89"/>
    </row>
    <row r="165" spans="1:20">
      <c r="A165" s="22"/>
      <c r="B165" s="22"/>
      <c r="C165" s="22"/>
      <c r="D165" s="22"/>
      <c r="E165" s="10" t="s">
        <v>5</v>
      </c>
      <c r="F165" s="15" t="s">
        <v>6</v>
      </c>
      <c r="G165" s="15" t="s">
        <v>7</v>
      </c>
      <c r="H165" s="15" t="s">
        <v>6</v>
      </c>
      <c r="I165" s="15" t="s">
        <v>8</v>
      </c>
      <c r="J165" s="15" t="s">
        <v>6</v>
      </c>
      <c r="K165" s="15" t="s">
        <v>9</v>
      </c>
      <c r="L165" s="15" t="s">
        <v>6</v>
      </c>
      <c r="M165" s="15" t="s">
        <v>10</v>
      </c>
      <c r="N165" s="15" t="s">
        <v>6</v>
      </c>
      <c r="O165" s="15" t="s">
        <v>11</v>
      </c>
      <c r="P165" s="15" t="s">
        <v>6</v>
      </c>
      <c r="Q165" s="15" t="s">
        <v>12</v>
      </c>
      <c r="R165" s="15" t="s">
        <v>6</v>
      </c>
      <c r="S165" s="15" t="s">
        <v>13</v>
      </c>
      <c r="T165" s="16" t="s">
        <v>6</v>
      </c>
    </row>
    <row r="166" spans="1:20" ht="224.45">
      <c r="A166" s="23" t="s">
        <v>14</v>
      </c>
      <c r="B166" s="24">
        <v>3</v>
      </c>
      <c r="C166" s="24">
        <v>9</v>
      </c>
      <c r="D166" s="25">
        <v>7</v>
      </c>
      <c r="E166" s="18" t="s">
        <v>460</v>
      </c>
      <c r="F166" s="26" t="s">
        <v>451</v>
      </c>
      <c r="G166" s="18" t="s">
        <v>461</v>
      </c>
      <c r="H166" s="36" t="s">
        <v>453</v>
      </c>
      <c r="I166" s="18" t="s">
        <v>462</v>
      </c>
      <c r="J166" s="26" t="s">
        <v>451</v>
      </c>
      <c r="K166" s="18" t="s">
        <v>463</v>
      </c>
      <c r="L166" s="26" t="s">
        <v>451</v>
      </c>
      <c r="M166" s="18" t="s">
        <v>464</v>
      </c>
      <c r="N166" s="26" t="s">
        <v>451</v>
      </c>
      <c r="O166" s="18" t="s">
        <v>465</v>
      </c>
      <c r="P166" s="26" t="s">
        <v>451</v>
      </c>
      <c r="Q166" s="18" t="s">
        <v>466</v>
      </c>
      <c r="R166" s="26" t="s">
        <v>467</v>
      </c>
      <c r="S166" s="18"/>
      <c r="T166" s="16"/>
    </row>
    <row r="167" spans="1:20">
      <c r="A167" s="22"/>
      <c r="B167" s="22"/>
      <c r="C167" s="22"/>
      <c r="D167" s="22"/>
      <c r="E167" s="87" t="s">
        <v>449</v>
      </c>
      <c r="F167" s="88"/>
      <c r="G167" s="88"/>
      <c r="H167" s="88"/>
      <c r="I167" s="88"/>
      <c r="J167" s="88"/>
      <c r="K167" s="88"/>
      <c r="L167" s="88"/>
      <c r="M167" s="88"/>
      <c r="N167" s="88"/>
      <c r="O167" s="88"/>
      <c r="P167" s="88"/>
      <c r="Q167" s="88"/>
      <c r="R167" s="88"/>
      <c r="S167" s="88"/>
      <c r="T167" s="89"/>
    </row>
    <row r="168" spans="1:20">
      <c r="A168" s="22"/>
      <c r="B168" s="22"/>
      <c r="C168" s="22"/>
      <c r="D168" s="22"/>
      <c r="E168" s="10" t="s">
        <v>5</v>
      </c>
      <c r="F168" s="15" t="s">
        <v>6</v>
      </c>
      <c r="G168" s="15" t="s">
        <v>7</v>
      </c>
      <c r="H168" s="15" t="s">
        <v>6</v>
      </c>
      <c r="I168" s="15" t="s">
        <v>8</v>
      </c>
      <c r="J168" s="15" t="s">
        <v>6</v>
      </c>
      <c r="K168" s="15" t="s">
        <v>9</v>
      </c>
      <c r="L168" s="15" t="s">
        <v>6</v>
      </c>
      <c r="M168" s="15" t="s">
        <v>10</v>
      </c>
      <c r="N168" s="15" t="s">
        <v>6</v>
      </c>
      <c r="O168" s="15" t="s">
        <v>11</v>
      </c>
      <c r="P168" s="15" t="s">
        <v>6</v>
      </c>
      <c r="Q168" s="15" t="s">
        <v>12</v>
      </c>
      <c r="R168" s="15" t="s">
        <v>6</v>
      </c>
      <c r="S168" s="15" t="s">
        <v>13</v>
      </c>
      <c r="T168" s="16" t="s">
        <v>6</v>
      </c>
    </row>
    <row r="169" spans="1:20" ht="224.45">
      <c r="A169" s="23" t="s">
        <v>14</v>
      </c>
      <c r="B169" s="24">
        <v>3</v>
      </c>
      <c r="C169" s="24">
        <v>9</v>
      </c>
      <c r="D169" s="25">
        <v>11</v>
      </c>
      <c r="E169" s="18" t="s">
        <v>468</v>
      </c>
      <c r="F169" s="26" t="s">
        <v>451</v>
      </c>
      <c r="G169" s="18" t="s">
        <v>469</v>
      </c>
      <c r="H169" s="36" t="s">
        <v>453</v>
      </c>
      <c r="I169" s="18" t="s">
        <v>470</v>
      </c>
      <c r="J169" s="26" t="s">
        <v>451</v>
      </c>
      <c r="K169" s="18" t="s">
        <v>471</v>
      </c>
      <c r="L169" s="26" t="s">
        <v>451</v>
      </c>
      <c r="M169" s="18" t="s">
        <v>472</v>
      </c>
      <c r="N169" s="26" t="s">
        <v>451</v>
      </c>
      <c r="O169" s="18" t="s">
        <v>473</v>
      </c>
      <c r="P169" s="36"/>
      <c r="Q169" s="18" t="s">
        <v>474</v>
      </c>
      <c r="R169" s="26" t="s">
        <v>475</v>
      </c>
      <c r="S169" s="18"/>
      <c r="T169" s="16"/>
    </row>
    <row r="170" spans="1:20">
      <c r="A170" s="22"/>
      <c r="B170" s="22"/>
      <c r="C170" s="22"/>
      <c r="D170" s="22"/>
      <c r="E170" s="87" t="s">
        <v>449</v>
      </c>
      <c r="F170" s="88"/>
      <c r="G170" s="88"/>
      <c r="H170" s="88"/>
      <c r="I170" s="88"/>
      <c r="J170" s="88"/>
      <c r="K170" s="88"/>
      <c r="L170" s="88"/>
      <c r="M170" s="88"/>
      <c r="N170" s="88"/>
      <c r="O170" s="88"/>
      <c r="P170" s="88"/>
      <c r="Q170" s="88"/>
      <c r="R170" s="88"/>
      <c r="S170" s="88"/>
      <c r="T170" s="89"/>
    </row>
    <row r="171" spans="1:20">
      <c r="A171" s="22"/>
      <c r="B171" s="22"/>
      <c r="C171" s="22"/>
      <c r="D171" s="22"/>
      <c r="E171" s="10" t="s">
        <v>5</v>
      </c>
      <c r="F171" s="15" t="s">
        <v>6</v>
      </c>
      <c r="G171" s="15" t="s">
        <v>7</v>
      </c>
      <c r="H171" s="15" t="s">
        <v>6</v>
      </c>
      <c r="I171" s="15" t="s">
        <v>8</v>
      </c>
      <c r="J171" s="15" t="s">
        <v>6</v>
      </c>
      <c r="K171" s="15" t="s">
        <v>9</v>
      </c>
      <c r="L171" s="15" t="s">
        <v>6</v>
      </c>
      <c r="M171" s="15" t="s">
        <v>10</v>
      </c>
      <c r="N171" s="15" t="s">
        <v>6</v>
      </c>
      <c r="O171" s="15" t="s">
        <v>11</v>
      </c>
      <c r="P171" s="15" t="s">
        <v>6</v>
      </c>
      <c r="Q171" s="15" t="s">
        <v>12</v>
      </c>
      <c r="R171" s="15" t="s">
        <v>6</v>
      </c>
      <c r="S171" s="15" t="s">
        <v>13</v>
      </c>
      <c r="T171" s="16" t="s">
        <v>6</v>
      </c>
    </row>
    <row r="172" spans="1:20" ht="198">
      <c r="A172" s="23" t="s">
        <v>14</v>
      </c>
      <c r="B172" s="24">
        <v>3</v>
      </c>
      <c r="C172" s="24">
        <v>9</v>
      </c>
      <c r="D172" s="25">
        <v>15</v>
      </c>
      <c r="E172" s="18" t="s">
        <v>476</v>
      </c>
      <c r="F172" s="26" t="s">
        <v>451</v>
      </c>
      <c r="G172" s="18" t="s">
        <v>477</v>
      </c>
      <c r="H172" s="36" t="s">
        <v>453</v>
      </c>
      <c r="I172" s="18" t="s">
        <v>478</v>
      </c>
      <c r="J172" s="26" t="s">
        <v>451</v>
      </c>
      <c r="K172" s="18" t="s">
        <v>479</v>
      </c>
      <c r="L172" s="26" t="s">
        <v>451</v>
      </c>
      <c r="M172" s="18" t="s">
        <v>480</v>
      </c>
      <c r="N172" s="26" t="s">
        <v>451</v>
      </c>
      <c r="O172" s="18" t="s">
        <v>481</v>
      </c>
      <c r="P172" s="36"/>
      <c r="Q172" s="18" t="s">
        <v>482</v>
      </c>
      <c r="R172" s="26" t="s">
        <v>475</v>
      </c>
      <c r="S172" s="18"/>
      <c r="T172" s="16"/>
    </row>
    <row r="173" spans="1:20">
      <c r="A173" s="22"/>
      <c r="B173" s="22"/>
      <c r="C173" s="22"/>
      <c r="D173" s="22"/>
      <c r="E173" s="87" t="s">
        <v>449</v>
      </c>
      <c r="F173" s="88"/>
      <c r="G173" s="88"/>
      <c r="H173" s="88"/>
      <c r="I173" s="88"/>
      <c r="J173" s="88"/>
      <c r="K173" s="88"/>
      <c r="L173" s="88"/>
      <c r="M173" s="88"/>
      <c r="N173" s="88"/>
      <c r="O173" s="88"/>
      <c r="P173" s="88"/>
      <c r="Q173" s="88"/>
      <c r="R173" s="88"/>
      <c r="S173" s="88"/>
      <c r="T173" s="89"/>
    </row>
    <row r="174" spans="1:20">
      <c r="A174" s="22"/>
      <c r="B174" s="22"/>
      <c r="C174" s="22"/>
      <c r="D174" s="22"/>
      <c r="E174" s="10" t="s">
        <v>5</v>
      </c>
      <c r="F174" s="15" t="s">
        <v>6</v>
      </c>
      <c r="G174" s="15" t="s">
        <v>7</v>
      </c>
      <c r="H174" s="15" t="s">
        <v>6</v>
      </c>
      <c r="I174" s="15" t="s">
        <v>8</v>
      </c>
      <c r="J174" s="15" t="s">
        <v>6</v>
      </c>
      <c r="K174" s="15" t="s">
        <v>9</v>
      </c>
      <c r="L174" s="15" t="s">
        <v>6</v>
      </c>
      <c r="M174" s="15" t="s">
        <v>10</v>
      </c>
      <c r="N174" s="15" t="s">
        <v>6</v>
      </c>
      <c r="O174" s="15" t="s">
        <v>11</v>
      </c>
      <c r="P174" s="15" t="s">
        <v>6</v>
      </c>
      <c r="Q174" s="15" t="s">
        <v>12</v>
      </c>
      <c r="R174" s="15" t="s">
        <v>6</v>
      </c>
      <c r="S174" s="15" t="s">
        <v>13</v>
      </c>
      <c r="T174" s="16" t="s">
        <v>6</v>
      </c>
    </row>
    <row r="175" spans="1:20" ht="211.15">
      <c r="A175" s="23" t="s">
        <v>14</v>
      </c>
      <c r="B175" s="24">
        <v>3</v>
      </c>
      <c r="C175" s="24">
        <v>9</v>
      </c>
      <c r="D175" s="25">
        <v>25</v>
      </c>
      <c r="E175" s="18" t="s">
        <v>483</v>
      </c>
      <c r="F175" s="26" t="s">
        <v>451</v>
      </c>
      <c r="G175" s="18" t="s">
        <v>484</v>
      </c>
      <c r="H175" s="36" t="s">
        <v>453</v>
      </c>
      <c r="I175" s="18" t="s">
        <v>485</v>
      </c>
      <c r="J175" s="26" t="s">
        <v>451</v>
      </c>
      <c r="K175" s="18" t="s">
        <v>486</v>
      </c>
      <c r="L175" s="26" t="s">
        <v>451</v>
      </c>
      <c r="M175" s="18" t="s">
        <v>487</v>
      </c>
      <c r="N175" s="26" t="s">
        <v>451</v>
      </c>
      <c r="O175" s="18" t="s">
        <v>488</v>
      </c>
      <c r="P175" s="36"/>
      <c r="Q175" s="18" t="s">
        <v>489</v>
      </c>
      <c r="R175" s="26" t="s">
        <v>475</v>
      </c>
      <c r="S175" s="18"/>
      <c r="T175" s="16"/>
    </row>
    <row r="176" spans="1:20">
      <c r="A176" s="22"/>
      <c r="B176" s="22"/>
      <c r="C176" s="22"/>
      <c r="D176" s="22"/>
      <c r="E176" s="87" t="s">
        <v>449</v>
      </c>
      <c r="F176" s="88"/>
      <c r="G176" s="88"/>
      <c r="H176" s="88"/>
      <c r="I176" s="88"/>
      <c r="J176" s="88"/>
      <c r="K176" s="88"/>
      <c r="L176" s="88"/>
      <c r="M176" s="88"/>
      <c r="N176" s="88"/>
      <c r="O176" s="88"/>
      <c r="P176" s="88"/>
      <c r="Q176" s="88"/>
      <c r="R176" s="88"/>
      <c r="S176" s="88"/>
      <c r="T176" s="89"/>
    </row>
    <row r="177" spans="1:20">
      <c r="A177" s="22"/>
      <c r="B177" s="22"/>
      <c r="C177" s="22"/>
      <c r="D177" s="22"/>
      <c r="E177" s="10" t="s">
        <v>5</v>
      </c>
      <c r="F177" s="15" t="s">
        <v>6</v>
      </c>
      <c r="G177" s="15" t="s">
        <v>7</v>
      </c>
      <c r="H177" s="15" t="s">
        <v>6</v>
      </c>
      <c r="I177" s="15" t="s">
        <v>8</v>
      </c>
      <c r="J177" s="15" t="s">
        <v>6</v>
      </c>
      <c r="K177" s="15" t="s">
        <v>9</v>
      </c>
      <c r="L177" s="15" t="s">
        <v>6</v>
      </c>
      <c r="M177" s="15" t="s">
        <v>10</v>
      </c>
      <c r="N177" s="15" t="s">
        <v>6</v>
      </c>
      <c r="O177" s="15" t="s">
        <v>11</v>
      </c>
      <c r="P177" s="15" t="s">
        <v>6</v>
      </c>
      <c r="Q177" s="15" t="s">
        <v>12</v>
      </c>
      <c r="R177" s="15" t="s">
        <v>6</v>
      </c>
      <c r="S177" s="15" t="s">
        <v>13</v>
      </c>
      <c r="T177" s="16" t="s">
        <v>6</v>
      </c>
    </row>
    <row r="178" spans="1:20" ht="184.9">
      <c r="A178" s="23" t="s">
        <v>14</v>
      </c>
      <c r="B178" s="24">
        <v>3</v>
      </c>
      <c r="C178" s="24">
        <v>9</v>
      </c>
      <c r="D178" s="25">
        <v>28</v>
      </c>
      <c r="E178" s="18" t="s">
        <v>490</v>
      </c>
      <c r="F178" s="26" t="s">
        <v>451</v>
      </c>
      <c r="G178" s="18" t="s">
        <v>491</v>
      </c>
      <c r="H178" s="36" t="s">
        <v>453</v>
      </c>
      <c r="I178" s="18" t="s">
        <v>492</v>
      </c>
      <c r="J178" s="26" t="s">
        <v>451</v>
      </c>
      <c r="K178" s="18" t="s">
        <v>493</v>
      </c>
      <c r="L178" s="26" t="s">
        <v>451</v>
      </c>
      <c r="M178" s="18" t="s">
        <v>494</v>
      </c>
      <c r="N178" s="26" t="s">
        <v>451</v>
      </c>
      <c r="O178" s="18" t="s">
        <v>495</v>
      </c>
      <c r="P178" s="36"/>
      <c r="Q178" s="18" t="s">
        <v>496</v>
      </c>
      <c r="R178" s="26" t="s">
        <v>475</v>
      </c>
      <c r="S178" s="18"/>
      <c r="T178" s="16"/>
    </row>
    <row r="179" spans="1:20">
      <c r="A179" s="22"/>
      <c r="B179" s="22"/>
      <c r="C179" s="22"/>
      <c r="D179" s="22"/>
      <c r="E179" s="87" t="s">
        <v>449</v>
      </c>
      <c r="F179" s="88"/>
      <c r="G179" s="88"/>
      <c r="H179" s="88"/>
      <c r="I179" s="88"/>
      <c r="J179" s="88"/>
      <c r="K179" s="88"/>
      <c r="L179" s="88"/>
      <c r="M179" s="88"/>
      <c r="N179" s="88"/>
      <c r="O179" s="88"/>
      <c r="P179" s="88"/>
      <c r="Q179" s="88"/>
      <c r="R179" s="88"/>
      <c r="S179" s="88"/>
      <c r="T179" s="89"/>
    </row>
    <row r="180" spans="1:20">
      <c r="A180" s="22"/>
      <c r="B180" s="22"/>
      <c r="C180" s="22"/>
      <c r="D180" s="22"/>
      <c r="E180" s="10" t="s">
        <v>5</v>
      </c>
      <c r="F180" s="15" t="s">
        <v>6</v>
      </c>
      <c r="G180" s="15" t="s">
        <v>7</v>
      </c>
      <c r="H180" s="15" t="s">
        <v>6</v>
      </c>
      <c r="I180" s="15" t="s">
        <v>8</v>
      </c>
      <c r="J180" s="15" t="s">
        <v>6</v>
      </c>
      <c r="K180" s="15" t="s">
        <v>9</v>
      </c>
      <c r="L180" s="15" t="s">
        <v>6</v>
      </c>
      <c r="M180" s="15" t="s">
        <v>10</v>
      </c>
      <c r="N180" s="15" t="s">
        <v>6</v>
      </c>
      <c r="O180" s="15" t="s">
        <v>11</v>
      </c>
      <c r="P180" s="15" t="s">
        <v>6</v>
      </c>
      <c r="Q180" s="15" t="s">
        <v>12</v>
      </c>
      <c r="R180" s="15" t="s">
        <v>6</v>
      </c>
      <c r="S180" s="15" t="s">
        <v>13</v>
      </c>
      <c r="T180" s="16" t="s">
        <v>6</v>
      </c>
    </row>
    <row r="181" spans="1:20" ht="145.15">
      <c r="A181" s="23" t="s">
        <v>14</v>
      </c>
      <c r="B181" s="24">
        <v>3</v>
      </c>
      <c r="C181" s="24">
        <v>9</v>
      </c>
      <c r="D181" s="25">
        <v>30</v>
      </c>
      <c r="E181" s="18" t="s">
        <v>497</v>
      </c>
      <c r="F181" s="26" t="s">
        <v>451</v>
      </c>
      <c r="G181" s="18" t="s">
        <v>498</v>
      </c>
      <c r="H181" s="36" t="s">
        <v>453</v>
      </c>
      <c r="I181" s="18" t="s">
        <v>499</v>
      </c>
      <c r="J181" s="26" t="s">
        <v>451</v>
      </c>
      <c r="K181" s="18" t="s">
        <v>500</v>
      </c>
      <c r="L181" s="36" t="s">
        <v>501</v>
      </c>
      <c r="M181" s="18" t="s">
        <v>502</v>
      </c>
      <c r="N181" s="26" t="s">
        <v>503</v>
      </c>
      <c r="O181" s="18" t="s">
        <v>504</v>
      </c>
      <c r="P181" s="26" t="s">
        <v>451</v>
      </c>
      <c r="Q181" s="18" t="s">
        <v>505</v>
      </c>
      <c r="R181" s="34" t="s">
        <v>506</v>
      </c>
      <c r="S181" s="18"/>
      <c r="T181" s="16"/>
    </row>
    <row r="182" spans="1:20" ht="15.75" customHeight="1">
      <c r="A182" s="22"/>
      <c r="B182" s="22"/>
      <c r="C182" s="22"/>
      <c r="D182" s="22"/>
      <c r="E182" s="87" t="s">
        <v>507</v>
      </c>
      <c r="F182" s="88"/>
      <c r="G182" s="88"/>
      <c r="H182" s="88"/>
      <c r="I182" s="88"/>
      <c r="J182" s="88"/>
      <c r="K182" s="88"/>
      <c r="L182" s="88"/>
      <c r="M182" s="88"/>
      <c r="N182" s="88"/>
      <c r="O182" s="88"/>
      <c r="P182" s="88"/>
      <c r="Q182" s="88"/>
      <c r="R182" s="88"/>
      <c r="S182" s="88"/>
      <c r="T182" s="89"/>
    </row>
    <row r="183" spans="1:20" ht="174" customHeight="1">
      <c r="A183" s="23" t="s">
        <v>14</v>
      </c>
      <c r="B183" s="24">
        <v>3</v>
      </c>
      <c r="C183" s="24">
        <v>10</v>
      </c>
      <c r="D183" s="25">
        <v>4</v>
      </c>
      <c r="E183" s="18" t="s">
        <v>508</v>
      </c>
      <c r="F183" s="26" t="s">
        <v>19</v>
      </c>
      <c r="G183" s="18" t="s">
        <v>509</v>
      </c>
      <c r="H183" s="36" t="s">
        <v>510</v>
      </c>
      <c r="I183" s="18" t="s">
        <v>511</v>
      </c>
      <c r="J183" s="36" t="s">
        <v>512</v>
      </c>
      <c r="K183" s="18" t="s">
        <v>513</v>
      </c>
      <c r="L183" s="36" t="s">
        <v>514</v>
      </c>
      <c r="M183" s="18" t="s">
        <v>515</v>
      </c>
      <c r="N183" s="26" t="s">
        <v>516</v>
      </c>
      <c r="O183" s="18" t="s">
        <v>517</v>
      </c>
      <c r="P183" s="36" t="s">
        <v>518</v>
      </c>
      <c r="Q183" s="18" t="s">
        <v>519</v>
      </c>
      <c r="R183" s="26" t="s">
        <v>334</v>
      </c>
      <c r="S183" s="18"/>
      <c r="T183" s="16"/>
    </row>
    <row r="184" spans="1:20">
      <c r="A184" s="22"/>
      <c r="B184" s="22"/>
      <c r="C184" s="22"/>
      <c r="D184" s="22"/>
      <c r="E184" s="87" t="s">
        <v>507</v>
      </c>
      <c r="F184" s="88"/>
      <c r="G184" s="88"/>
      <c r="H184" s="88"/>
      <c r="I184" s="88"/>
      <c r="J184" s="88"/>
      <c r="K184" s="88"/>
      <c r="L184" s="88"/>
      <c r="M184" s="88"/>
      <c r="N184" s="88"/>
      <c r="O184" s="88"/>
      <c r="P184" s="88"/>
      <c r="Q184" s="88"/>
      <c r="R184" s="88"/>
      <c r="S184" s="88"/>
      <c r="T184" s="89"/>
    </row>
    <row r="185" spans="1:20">
      <c r="A185" s="22"/>
      <c r="B185" s="22"/>
      <c r="C185" s="22"/>
      <c r="D185" s="22"/>
      <c r="E185" s="10" t="s">
        <v>5</v>
      </c>
      <c r="F185" s="15" t="s">
        <v>6</v>
      </c>
      <c r="G185" s="15" t="s">
        <v>7</v>
      </c>
      <c r="H185" s="15" t="s">
        <v>6</v>
      </c>
      <c r="I185" s="15" t="s">
        <v>8</v>
      </c>
      <c r="J185" s="15" t="s">
        <v>6</v>
      </c>
      <c r="K185" s="15" t="s">
        <v>9</v>
      </c>
      <c r="L185" s="15" t="s">
        <v>6</v>
      </c>
      <c r="M185" s="15" t="s">
        <v>10</v>
      </c>
      <c r="N185" s="15" t="s">
        <v>6</v>
      </c>
      <c r="O185" s="15" t="s">
        <v>11</v>
      </c>
      <c r="P185" s="15" t="s">
        <v>6</v>
      </c>
      <c r="Q185" s="15" t="s">
        <v>12</v>
      </c>
      <c r="R185" s="15" t="s">
        <v>6</v>
      </c>
      <c r="S185" s="15" t="s">
        <v>13</v>
      </c>
      <c r="T185" s="16" t="s">
        <v>6</v>
      </c>
    </row>
    <row r="186" spans="1:20" ht="184.9">
      <c r="A186" s="23" t="s">
        <v>14</v>
      </c>
      <c r="B186" s="24">
        <v>3</v>
      </c>
      <c r="C186" s="24">
        <v>10</v>
      </c>
      <c r="D186" s="25">
        <v>8</v>
      </c>
      <c r="E186" s="18" t="s">
        <v>520</v>
      </c>
      <c r="F186" s="26" t="s">
        <v>334</v>
      </c>
      <c r="G186" s="18" t="s">
        <v>521</v>
      </c>
      <c r="H186" s="36" t="s">
        <v>522</v>
      </c>
      <c r="I186" s="18" t="s">
        <v>523</v>
      </c>
      <c r="J186" s="36" t="s">
        <v>524</v>
      </c>
      <c r="K186" s="18" t="s">
        <v>525</v>
      </c>
      <c r="L186" s="36" t="s">
        <v>526</v>
      </c>
      <c r="M186" s="18" t="s">
        <v>527</v>
      </c>
      <c r="N186" s="36" t="s">
        <v>528</v>
      </c>
      <c r="O186" s="18" t="s">
        <v>529</v>
      </c>
      <c r="P186" s="36" t="s">
        <v>530</v>
      </c>
      <c r="Q186" s="18" t="s">
        <v>531</v>
      </c>
      <c r="R186" s="26" t="s">
        <v>334</v>
      </c>
      <c r="S186" s="18"/>
      <c r="T186" s="16"/>
    </row>
    <row r="187" spans="1:20">
      <c r="A187" s="22"/>
      <c r="B187" s="22"/>
      <c r="C187" s="22"/>
      <c r="D187" s="22"/>
      <c r="E187" s="87" t="s">
        <v>507</v>
      </c>
      <c r="F187" s="88"/>
      <c r="G187" s="88"/>
      <c r="H187" s="88"/>
      <c r="I187" s="88"/>
      <c r="J187" s="88"/>
      <c r="K187" s="88"/>
      <c r="L187" s="88"/>
      <c r="M187" s="88"/>
      <c r="N187" s="88"/>
      <c r="O187" s="88"/>
      <c r="P187" s="88"/>
      <c r="Q187" s="88"/>
      <c r="R187" s="88"/>
      <c r="S187" s="88"/>
      <c r="T187" s="89"/>
    </row>
    <row r="188" spans="1:20">
      <c r="A188" s="22"/>
      <c r="B188" s="22"/>
      <c r="C188" s="22"/>
      <c r="D188" s="22"/>
      <c r="E188" s="10" t="s">
        <v>5</v>
      </c>
      <c r="F188" s="15" t="s">
        <v>6</v>
      </c>
      <c r="G188" s="15" t="s">
        <v>7</v>
      </c>
      <c r="H188" s="15" t="s">
        <v>6</v>
      </c>
      <c r="I188" s="15" t="s">
        <v>8</v>
      </c>
      <c r="J188" s="15" t="s">
        <v>6</v>
      </c>
      <c r="K188" s="15" t="s">
        <v>9</v>
      </c>
      <c r="L188" s="15" t="s">
        <v>6</v>
      </c>
      <c r="M188" s="15" t="s">
        <v>10</v>
      </c>
      <c r="N188" s="15" t="s">
        <v>6</v>
      </c>
      <c r="O188" s="15" t="s">
        <v>11</v>
      </c>
      <c r="P188" s="15" t="s">
        <v>6</v>
      </c>
      <c r="Q188" s="15" t="s">
        <v>12</v>
      </c>
      <c r="R188" s="15" t="s">
        <v>6</v>
      </c>
      <c r="S188" s="15" t="s">
        <v>13</v>
      </c>
      <c r="T188" s="16" t="s">
        <v>6</v>
      </c>
    </row>
    <row r="189" spans="1:20" ht="184.9">
      <c r="A189" s="23" t="s">
        <v>14</v>
      </c>
      <c r="B189" s="24">
        <v>3</v>
      </c>
      <c r="C189" s="24">
        <v>10</v>
      </c>
      <c r="D189" s="25">
        <v>13</v>
      </c>
      <c r="E189" s="18" t="s">
        <v>532</v>
      </c>
      <c r="F189" s="36" t="s">
        <v>533</v>
      </c>
      <c r="G189" s="18" t="s">
        <v>534</v>
      </c>
      <c r="H189" s="36" t="s">
        <v>535</v>
      </c>
      <c r="I189" s="18" t="s">
        <v>536</v>
      </c>
      <c r="J189" s="36" t="s">
        <v>537</v>
      </c>
      <c r="K189" s="18" t="s">
        <v>538</v>
      </c>
      <c r="L189" s="36" t="s">
        <v>539</v>
      </c>
      <c r="M189" s="18" t="s">
        <v>540</v>
      </c>
      <c r="N189" s="36" t="s">
        <v>541</v>
      </c>
      <c r="O189" s="18" t="s">
        <v>542</v>
      </c>
      <c r="P189" s="36" t="s">
        <v>543</v>
      </c>
      <c r="Q189" s="18" t="s">
        <v>544</v>
      </c>
      <c r="R189" s="36" t="s">
        <v>545</v>
      </c>
      <c r="S189" s="18"/>
      <c r="T189" s="16"/>
    </row>
    <row r="190" spans="1:20">
      <c r="A190" s="22"/>
      <c r="B190" s="22"/>
      <c r="C190" s="22"/>
      <c r="D190" s="22"/>
      <c r="E190" s="87" t="s">
        <v>507</v>
      </c>
      <c r="F190" s="88"/>
      <c r="G190" s="88"/>
      <c r="H190" s="88"/>
      <c r="I190" s="88"/>
      <c r="J190" s="88"/>
      <c r="K190" s="88"/>
      <c r="L190" s="88"/>
      <c r="M190" s="88"/>
      <c r="N190" s="88"/>
      <c r="O190" s="88"/>
      <c r="P190" s="88"/>
      <c r="Q190" s="88"/>
      <c r="R190" s="88"/>
      <c r="S190" s="88"/>
      <c r="T190" s="89"/>
    </row>
    <row r="191" spans="1:20">
      <c r="A191" s="22"/>
      <c r="B191" s="22"/>
      <c r="C191" s="22"/>
      <c r="D191" s="22"/>
      <c r="E191" s="10" t="s">
        <v>5</v>
      </c>
      <c r="F191" s="15" t="s">
        <v>6</v>
      </c>
      <c r="G191" s="15" t="s">
        <v>7</v>
      </c>
      <c r="H191" s="15" t="s">
        <v>6</v>
      </c>
      <c r="I191" s="15" t="s">
        <v>8</v>
      </c>
      <c r="J191" s="15" t="s">
        <v>6</v>
      </c>
      <c r="K191" s="15" t="s">
        <v>9</v>
      </c>
      <c r="L191" s="15" t="s">
        <v>6</v>
      </c>
      <c r="M191" s="15" t="s">
        <v>10</v>
      </c>
      <c r="N191" s="15" t="s">
        <v>6</v>
      </c>
      <c r="O191" s="15" t="s">
        <v>11</v>
      </c>
      <c r="P191" s="15" t="s">
        <v>6</v>
      </c>
      <c r="Q191" s="15" t="s">
        <v>12</v>
      </c>
      <c r="R191" s="15" t="s">
        <v>6</v>
      </c>
      <c r="S191" s="15" t="s">
        <v>13</v>
      </c>
      <c r="T191" s="16" t="s">
        <v>6</v>
      </c>
    </row>
    <row r="192" spans="1:20" ht="184.9">
      <c r="A192" s="23" t="s">
        <v>14</v>
      </c>
      <c r="B192" s="24">
        <v>3</v>
      </c>
      <c r="C192" s="24">
        <v>10</v>
      </c>
      <c r="D192" s="25">
        <v>16</v>
      </c>
      <c r="E192" s="18" t="s">
        <v>546</v>
      </c>
      <c r="F192" s="26" t="s">
        <v>19</v>
      </c>
      <c r="G192" s="18" t="s">
        <v>547</v>
      </c>
      <c r="H192" s="36" t="s">
        <v>548</v>
      </c>
      <c r="I192" s="18" t="s">
        <v>549</v>
      </c>
      <c r="J192" s="36" t="s">
        <v>550</v>
      </c>
      <c r="K192" s="18" t="s">
        <v>551</v>
      </c>
      <c r="L192" s="26" t="s">
        <v>334</v>
      </c>
      <c r="M192" s="18" t="s">
        <v>552</v>
      </c>
      <c r="N192" s="36" t="s">
        <v>553</v>
      </c>
      <c r="O192" s="18" t="s">
        <v>554</v>
      </c>
      <c r="P192" s="36" t="s">
        <v>555</v>
      </c>
      <c r="Q192" s="18" t="s">
        <v>556</v>
      </c>
      <c r="R192" s="36" t="s">
        <v>557</v>
      </c>
      <c r="S192" s="18"/>
      <c r="T192" s="16"/>
    </row>
    <row r="193" spans="1:20">
      <c r="A193" s="22"/>
      <c r="B193" s="22"/>
      <c r="C193" s="22"/>
      <c r="D193" s="22"/>
      <c r="E193" s="87" t="s">
        <v>507</v>
      </c>
      <c r="F193" s="88"/>
      <c r="G193" s="88"/>
      <c r="H193" s="88"/>
      <c r="I193" s="88"/>
      <c r="J193" s="88"/>
      <c r="K193" s="88"/>
      <c r="L193" s="88"/>
      <c r="M193" s="88"/>
      <c r="N193" s="88"/>
      <c r="O193" s="88"/>
      <c r="P193" s="88"/>
      <c r="Q193" s="88"/>
      <c r="R193" s="88"/>
      <c r="S193" s="88"/>
      <c r="T193" s="89"/>
    </row>
    <row r="194" spans="1:20">
      <c r="A194" s="22"/>
      <c r="B194" s="22"/>
      <c r="C194" s="22"/>
      <c r="D194" s="22"/>
      <c r="E194" s="10" t="s">
        <v>5</v>
      </c>
      <c r="F194" s="15" t="s">
        <v>6</v>
      </c>
      <c r="G194" s="15" t="s">
        <v>7</v>
      </c>
      <c r="H194" s="15" t="s">
        <v>6</v>
      </c>
      <c r="I194" s="15" t="s">
        <v>8</v>
      </c>
      <c r="J194" s="15" t="s">
        <v>6</v>
      </c>
      <c r="K194" s="15" t="s">
        <v>9</v>
      </c>
      <c r="L194" s="15" t="s">
        <v>6</v>
      </c>
      <c r="M194" s="15" t="s">
        <v>10</v>
      </c>
      <c r="N194" s="15" t="s">
        <v>6</v>
      </c>
      <c r="O194" s="15" t="s">
        <v>11</v>
      </c>
      <c r="P194" s="15" t="s">
        <v>6</v>
      </c>
      <c r="Q194" s="15" t="s">
        <v>12</v>
      </c>
      <c r="R194" s="15" t="s">
        <v>6</v>
      </c>
      <c r="S194" s="15" t="s">
        <v>13</v>
      </c>
      <c r="T194" s="16" t="s">
        <v>6</v>
      </c>
    </row>
    <row r="195" spans="1:20" ht="182.25" customHeight="1">
      <c r="A195" s="23" t="s">
        <v>14</v>
      </c>
      <c r="B195" s="24">
        <v>3</v>
      </c>
      <c r="C195" s="24">
        <v>10</v>
      </c>
      <c r="D195" s="25">
        <v>22</v>
      </c>
      <c r="E195" s="18" t="s">
        <v>558</v>
      </c>
      <c r="F195" s="26" t="s">
        <v>334</v>
      </c>
      <c r="G195" s="18" t="s">
        <v>559</v>
      </c>
      <c r="H195" s="36" t="s">
        <v>560</v>
      </c>
      <c r="I195" s="18" t="s">
        <v>561</v>
      </c>
      <c r="J195" s="36" t="s">
        <v>562</v>
      </c>
      <c r="K195" s="18" t="s">
        <v>563</v>
      </c>
      <c r="L195" s="26" t="s">
        <v>334</v>
      </c>
      <c r="M195" s="18" t="s">
        <v>564</v>
      </c>
      <c r="N195" s="26" t="s">
        <v>334</v>
      </c>
      <c r="O195" s="18" t="s">
        <v>565</v>
      </c>
      <c r="P195" s="36" t="s">
        <v>566</v>
      </c>
      <c r="Q195" s="18" t="s">
        <v>567</v>
      </c>
      <c r="R195" s="36" t="s">
        <v>568</v>
      </c>
      <c r="S195" s="18"/>
      <c r="T195" s="16"/>
    </row>
    <row r="196" spans="1:20">
      <c r="A196" s="22"/>
      <c r="B196" s="22"/>
      <c r="C196" s="22"/>
      <c r="D196" s="22"/>
      <c r="E196" s="87" t="s">
        <v>507</v>
      </c>
      <c r="F196" s="88"/>
      <c r="G196" s="88"/>
      <c r="H196" s="88"/>
      <c r="I196" s="88"/>
      <c r="J196" s="88"/>
      <c r="K196" s="88"/>
      <c r="L196" s="88"/>
      <c r="M196" s="88"/>
      <c r="N196" s="88"/>
      <c r="O196" s="88"/>
      <c r="P196" s="88"/>
      <c r="Q196" s="88"/>
      <c r="R196" s="88"/>
      <c r="S196" s="88"/>
      <c r="T196" s="89"/>
    </row>
    <row r="197" spans="1:20">
      <c r="A197" s="22"/>
      <c r="B197" s="22"/>
      <c r="C197" s="22"/>
      <c r="D197" s="22"/>
      <c r="E197" s="10" t="s">
        <v>5</v>
      </c>
      <c r="F197" s="15" t="s">
        <v>6</v>
      </c>
      <c r="G197" s="15" t="s">
        <v>7</v>
      </c>
      <c r="H197" s="15" t="s">
        <v>6</v>
      </c>
      <c r="I197" s="15" t="s">
        <v>8</v>
      </c>
      <c r="J197" s="15" t="s">
        <v>6</v>
      </c>
      <c r="K197" s="15" t="s">
        <v>9</v>
      </c>
      <c r="L197" s="15" t="s">
        <v>6</v>
      </c>
      <c r="M197" s="15" t="s">
        <v>10</v>
      </c>
      <c r="N197" s="15" t="s">
        <v>6</v>
      </c>
      <c r="O197" s="15" t="s">
        <v>11</v>
      </c>
      <c r="P197" s="15" t="s">
        <v>6</v>
      </c>
      <c r="Q197" s="15" t="s">
        <v>12</v>
      </c>
      <c r="R197" s="15" t="s">
        <v>6</v>
      </c>
      <c r="S197" s="15" t="s">
        <v>13</v>
      </c>
      <c r="T197" s="16" t="s">
        <v>6</v>
      </c>
    </row>
    <row r="198" spans="1:20" ht="251.25" customHeight="1">
      <c r="A198" s="23" t="s">
        <v>14</v>
      </c>
      <c r="B198" s="24">
        <v>3</v>
      </c>
      <c r="C198" s="24">
        <v>10</v>
      </c>
      <c r="D198" s="25">
        <v>26</v>
      </c>
      <c r="E198" s="18" t="s">
        <v>569</v>
      </c>
      <c r="F198" s="26" t="s">
        <v>334</v>
      </c>
      <c r="G198" s="18" t="s">
        <v>570</v>
      </c>
      <c r="H198" s="36" t="s">
        <v>571</v>
      </c>
      <c r="I198" s="18" t="s">
        <v>549</v>
      </c>
      <c r="J198" s="36" t="s">
        <v>572</v>
      </c>
      <c r="K198" s="18" t="s">
        <v>573</v>
      </c>
      <c r="L198" s="36" t="s">
        <v>574</v>
      </c>
      <c r="M198" s="18" t="s">
        <v>575</v>
      </c>
      <c r="N198" s="26" t="s">
        <v>334</v>
      </c>
      <c r="O198" s="18" t="s">
        <v>576</v>
      </c>
      <c r="P198" s="36" t="s">
        <v>577</v>
      </c>
      <c r="Q198" s="18" t="s">
        <v>578</v>
      </c>
      <c r="R198" s="26" t="s">
        <v>334</v>
      </c>
      <c r="S198" s="18"/>
      <c r="T198" s="16"/>
    </row>
    <row r="199" spans="1:20">
      <c r="A199" s="22"/>
      <c r="B199" s="22"/>
      <c r="C199" s="22"/>
      <c r="D199" s="22"/>
      <c r="E199" s="87" t="s">
        <v>507</v>
      </c>
      <c r="F199" s="88"/>
      <c r="G199" s="88"/>
      <c r="H199" s="88"/>
      <c r="I199" s="88"/>
      <c r="J199" s="88"/>
      <c r="K199" s="88"/>
      <c r="L199" s="88"/>
      <c r="M199" s="88"/>
      <c r="N199" s="88"/>
      <c r="O199" s="88"/>
      <c r="P199" s="88"/>
      <c r="Q199" s="88"/>
      <c r="R199" s="88"/>
      <c r="S199" s="88"/>
      <c r="T199" s="89"/>
    </row>
    <row r="200" spans="1:20">
      <c r="A200" s="22"/>
      <c r="B200" s="22"/>
      <c r="C200" s="22"/>
      <c r="D200" s="22"/>
      <c r="E200" s="10" t="s">
        <v>5</v>
      </c>
      <c r="F200" s="15" t="s">
        <v>6</v>
      </c>
      <c r="G200" s="15" t="s">
        <v>7</v>
      </c>
      <c r="H200" s="15" t="s">
        <v>6</v>
      </c>
      <c r="I200" s="15" t="s">
        <v>8</v>
      </c>
      <c r="J200" s="15" t="s">
        <v>6</v>
      </c>
      <c r="K200" s="15" t="s">
        <v>9</v>
      </c>
      <c r="L200" s="15" t="s">
        <v>6</v>
      </c>
      <c r="M200" s="15" t="s">
        <v>10</v>
      </c>
      <c r="N200" s="15" t="s">
        <v>6</v>
      </c>
      <c r="O200" s="15" t="s">
        <v>11</v>
      </c>
      <c r="P200" s="15" t="s">
        <v>6</v>
      </c>
      <c r="Q200" s="15" t="s">
        <v>12</v>
      </c>
      <c r="R200" s="15" t="s">
        <v>6</v>
      </c>
      <c r="S200" s="15" t="s">
        <v>13</v>
      </c>
      <c r="T200" s="16" t="s">
        <v>6</v>
      </c>
    </row>
    <row r="201" spans="1:20" ht="237.6">
      <c r="A201" s="23" t="s">
        <v>14</v>
      </c>
      <c r="B201" s="24">
        <v>3</v>
      </c>
      <c r="C201" s="24">
        <v>10</v>
      </c>
      <c r="D201" s="25">
        <v>28</v>
      </c>
      <c r="E201" s="18" t="s">
        <v>579</v>
      </c>
      <c r="F201" s="36" t="s">
        <v>580</v>
      </c>
      <c r="G201" s="18" t="s">
        <v>581</v>
      </c>
      <c r="H201" s="36" t="s">
        <v>582</v>
      </c>
      <c r="I201" s="18" t="s">
        <v>583</v>
      </c>
      <c r="J201" s="36" t="s">
        <v>584</v>
      </c>
      <c r="K201" s="18" t="s">
        <v>585</v>
      </c>
      <c r="L201" s="34" t="s">
        <v>586</v>
      </c>
      <c r="M201" s="18" t="s">
        <v>587</v>
      </c>
      <c r="N201" s="34" t="s">
        <v>588</v>
      </c>
      <c r="O201" s="18" t="s">
        <v>589</v>
      </c>
      <c r="P201" s="36" t="s">
        <v>590</v>
      </c>
      <c r="Q201" s="18" t="s">
        <v>591</v>
      </c>
      <c r="R201" s="34" t="s">
        <v>592</v>
      </c>
      <c r="S201" s="18"/>
      <c r="T201" s="16"/>
    </row>
    <row r="202" spans="1:20">
      <c r="A202" s="22"/>
      <c r="B202" s="22"/>
      <c r="C202" s="22"/>
      <c r="D202" s="22"/>
      <c r="E202" s="87" t="s">
        <v>507</v>
      </c>
      <c r="F202" s="88"/>
      <c r="G202" s="88"/>
      <c r="H202" s="88"/>
      <c r="I202" s="88"/>
      <c r="J202" s="88"/>
      <c r="K202" s="88"/>
      <c r="L202" s="88"/>
      <c r="M202" s="88"/>
      <c r="N202" s="88"/>
      <c r="O202" s="88"/>
      <c r="P202" s="88"/>
      <c r="Q202" s="88"/>
      <c r="R202" s="88"/>
      <c r="S202" s="88"/>
      <c r="T202" s="89"/>
    </row>
    <row r="203" spans="1:20">
      <c r="A203" s="22"/>
      <c r="B203" s="22"/>
      <c r="C203" s="22"/>
      <c r="D203" s="22"/>
      <c r="E203" s="10" t="s">
        <v>5</v>
      </c>
      <c r="F203" s="15" t="s">
        <v>6</v>
      </c>
      <c r="G203" s="15" t="s">
        <v>7</v>
      </c>
      <c r="H203" s="15" t="s">
        <v>6</v>
      </c>
      <c r="I203" s="15" t="s">
        <v>8</v>
      </c>
      <c r="J203" s="15" t="s">
        <v>6</v>
      </c>
      <c r="K203" s="15" t="s">
        <v>9</v>
      </c>
      <c r="L203" s="15" t="s">
        <v>6</v>
      </c>
      <c r="M203" s="15" t="s">
        <v>10</v>
      </c>
      <c r="N203" s="15" t="s">
        <v>6</v>
      </c>
      <c r="O203" s="15" t="s">
        <v>11</v>
      </c>
      <c r="P203" s="15" t="s">
        <v>6</v>
      </c>
      <c r="Q203" s="15" t="s">
        <v>12</v>
      </c>
      <c r="R203" s="15" t="s">
        <v>6</v>
      </c>
      <c r="S203" s="15" t="s">
        <v>13</v>
      </c>
      <c r="T203" s="16" t="s">
        <v>6</v>
      </c>
    </row>
    <row r="204" spans="1:20" ht="196.5" customHeight="1">
      <c r="A204" s="23" t="s">
        <v>14</v>
      </c>
      <c r="B204" s="24">
        <v>3</v>
      </c>
      <c r="C204" s="24">
        <v>10</v>
      </c>
      <c r="D204" s="25">
        <v>29</v>
      </c>
      <c r="E204" s="18" t="s">
        <v>593</v>
      </c>
      <c r="F204" s="26" t="s">
        <v>19</v>
      </c>
      <c r="G204" s="18" t="s">
        <v>594</v>
      </c>
      <c r="H204" s="26" t="s">
        <v>19</v>
      </c>
      <c r="I204" s="18" t="s">
        <v>595</v>
      </c>
      <c r="J204" s="26" t="s">
        <v>596</v>
      </c>
      <c r="K204" s="18" t="s">
        <v>597</v>
      </c>
      <c r="L204" s="26" t="s">
        <v>334</v>
      </c>
      <c r="M204" s="18" t="s">
        <v>598</v>
      </c>
      <c r="N204" s="36" t="s">
        <v>599</v>
      </c>
      <c r="O204" s="18" t="s">
        <v>600</v>
      </c>
      <c r="P204" s="26" t="s">
        <v>334</v>
      </c>
      <c r="Q204" s="18" t="s">
        <v>601</v>
      </c>
      <c r="R204" s="36" t="s">
        <v>602</v>
      </c>
      <c r="S204" s="18"/>
      <c r="T204" s="16"/>
    </row>
    <row r="205" spans="1:20">
      <c r="A205" s="22"/>
      <c r="B205" s="22"/>
      <c r="C205" s="22"/>
      <c r="D205" s="22"/>
      <c r="E205" s="87" t="s">
        <v>603</v>
      </c>
      <c r="F205" s="88"/>
      <c r="G205" s="88"/>
      <c r="H205" s="88"/>
      <c r="I205" s="88"/>
      <c r="J205" s="88"/>
      <c r="K205" s="88"/>
      <c r="L205" s="88"/>
      <c r="M205" s="88"/>
      <c r="N205" s="88"/>
      <c r="O205" s="88"/>
      <c r="P205" s="88"/>
      <c r="Q205" s="88"/>
      <c r="R205" s="88"/>
      <c r="S205" s="88"/>
      <c r="T205" s="89"/>
    </row>
    <row r="206" spans="1:20">
      <c r="A206" s="22"/>
      <c r="B206" s="22"/>
      <c r="C206" s="22"/>
      <c r="D206" s="22"/>
      <c r="E206" s="10" t="s">
        <v>5</v>
      </c>
      <c r="F206" s="15" t="s">
        <v>6</v>
      </c>
      <c r="G206" s="15" t="s">
        <v>7</v>
      </c>
      <c r="H206" s="15" t="s">
        <v>6</v>
      </c>
      <c r="I206" s="15" t="s">
        <v>8</v>
      </c>
      <c r="J206" s="15" t="s">
        <v>6</v>
      </c>
      <c r="K206" s="15" t="s">
        <v>9</v>
      </c>
      <c r="L206" s="15" t="s">
        <v>6</v>
      </c>
      <c r="M206" s="15" t="s">
        <v>10</v>
      </c>
      <c r="N206" s="15" t="s">
        <v>6</v>
      </c>
      <c r="O206" s="15" t="s">
        <v>11</v>
      </c>
      <c r="P206" s="15" t="s">
        <v>6</v>
      </c>
      <c r="Q206" s="15" t="s">
        <v>12</v>
      </c>
      <c r="R206" s="15" t="s">
        <v>6</v>
      </c>
      <c r="S206" s="15" t="s">
        <v>13</v>
      </c>
      <c r="T206" s="16" t="s">
        <v>6</v>
      </c>
    </row>
    <row r="207" spans="1:20" ht="237.6">
      <c r="A207" s="23" t="s">
        <v>14</v>
      </c>
      <c r="B207" s="24">
        <v>3</v>
      </c>
      <c r="C207" s="24">
        <v>11</v>
      </c>
      <c r="D207" s="25">
        <v>4</v>
      </c>
      <c r="E207" s="18" t="s">
        <v>604</v>
      </c>
      <c r="F207" s="26" t="s">
        <v>19</v>
      </c>
      <c r="G207" s="18" t="s">
        <v>605</v>
      </c>
      <c r="H207" s="26" t="s">
        <v>19</v>
      </c>
      <c r="I207" s="18" t="s">
        <v>309</v>
      </c>
      <c r="J207" s="26" t="s">
        <v>19</v>
      </c>
      <c r="K207" s="18" t="s">
        <v>606</v>
      </c>
      <c r="L207" s="26" t="s">
        <v>19</v>
      </c>
      <c r="M207" s="18" t="s">
        <v>607</v>
      </c>
      <c r="N207" s="26" t="s">
        <v>19</v>
      </c>
      <c r="O207" s="18" t="s">
        <v>608</v>
      </c>
      <c r="P207" s="26" t="s">
        <v>19</v>
      </c>
      <c r="Q207" s="18" t="s">
        <v>609</v>
      </c>
      <c r="R207" s="36" t="s">
        <v>610</v>
      </c>
      <c r="S207" s="18"/>
      <c r="T207" s="16"/>
    </row>
    <row r="208" spans="1:20">
      <c r="A208" s="22"/>
      <c r="B208" s="22"/>
      <c r="C208" s="22"/>
      <c r="D208" s="22"/>
      <c r="E208" s="87" t="s">
        <v>603</v>
      </c>
      <c r="F208" s="88"/>
      <c r="G208" s="88"/>
      <c r="H208" s="88"/>
      <c r="I208" s="88"/>
      <c r="J208" s="88"/>
      <c r="K208" s="88"/>
      <c r="L208" s="88"/>
      <c r="M208" s="88"/>
      <c r="N208" s="88"/>
      <c r="O208" s="88"/>
      <c r="P208" s="88"/>
      <c r="Q208" s="88"/>
      <c r="R208" s="88"/>
      <c r="S208" s="88"/>
      <c r="T208" s="89"/>
    </row>
    <row r="209" spans="1:20">
      <c r="A209" s="22"/>
      <c r="B209" s="22"/>
      <c r="C209" s="22"/>
      <c r="D209" s="22"/>
      <c r="E209" s="10" t="s">
        <v>5</v>
      </c>
      <c r="F209" s="15" t="s">
        <v>6</v>
      </c>
      <c r="G209" s="15" t="s">
        <v>7</v>
      </c>
      <c r="H209" s="15" t="s">
        <v>6</v>
      </c>
      <c r="I209" s="15" t="s">
        <v>8</v>
      </c>
      <c r="J209" s="15" t="s">
        <v>6</v>
      </c>
      <c r="K209" s="15" t="s">
        <v>9</v>
      </c>
      <c r="L209" s="15" t="s">
        <v>6</v>
      </c>
      <c r="M209" s="15" t="s">
        <v>10</v>
      </c>
      <c r="N209" s="15" t="s">
        <v>6</v>
      </c>
      <c r="O209" s="15" t="s">
        <v>11</v>
      </c>
      <c r="P209" s="15" t="s">
        <v>6</v>
      </c>
      <c r="Q209" s="15" t="s">
        <v>12</v>
      </c>
      <c r="R209" s="15" t="s">
        <v>6</v>
      </c>
      <c r="S209" s="15" t="s">
        <v>13</v>
      </c>
      <c r="T209" s="16" t="s">
        <v>6</v>
      </c>
    </row>
    <row r="210" spans="1:20" ht="237.6">
      <c r="A210" s="23" t="s">
        <v>14</v>
      </c>
      <c r="B210" s="24">
        <v>3</v>
      </c>
      <c r="C210" s="24">
        <v>11</v>
      </c>
      <c r="D210" s="25">
        <v>9</v>
      </c>
      <c r="E210" s="18" t="s">
        <v>611</v>
      </c>
      <c r="F210" s="26" t="s">
        <v>19</v>
      </c>
      <c r="G210" s="18" t="s">
        <v>612</v>
      </c>
      <c r="H210" s="26" t="s">
        <v>19</v>
      </c>
      <c r="I210" s="18" t="s">
        <v>309</v>
      </c>
      <c r="J210" s="26" t="s">
        <v>19</v>
      </c>
      <c r="K210" s="18" t="s">
        <v>613</v>
      </c>
      <c r="L210" s="26" t="s">
        <v>19</v>
      </c>
      <c r="M210" s="18" t="s">
        <v>614</v>
      </c>
      <c r="N210" s="26" t="s">
        <v>19</v>
      </c>
      <c r="O210" s="18" t="s">
        <v>615</v>
      </c>
      <c r="P210" s="26" t="s">
        <v>19</v>
      </c>
      <c r="Q210" s="18" t="s">
        <v>616</v>
      </c>
      <c r="R210" s="40" t="s">
        <v>617</v>
      </c>
      <c r="S210" s="18"/>
      <c r="T210" s="16"/>
    </row>
    <row r="211" spans="1:20">
      <c r="A211" s="22"/>
      <c r="B211" s="22"/>
      <c r="C211" s="22"/>
      <c r="D211" s="22"/>
      <c r="E211" s="87" t="s">
        <v>603</v>
      </c>
      <c r="F211" s="88"/>
      <c r="G211" s="88"/>
      <c r="H211" s="88"/>
      <c r="I211" s="88"/>
      <c r="J211" s="88"/>
      <c r="K211" s="88"/>
      <c r="L211" s="88"/>
      <c r="M211" s="88"/>
      <c r="N211" s="88"/>
      <c r="O211" s="88"/>
      <c r="P211" s="88"/>
      <c r="Q211" s="88"/>
      <c r="R211" s="88"/>
      <c r="S211" s="88"/>
      <c r="T211" s="89"/>
    </row>
    <row r="212" spans="1:20">
      <c r="A212" s="22"/>
      <c r="B212" s="22"/>
      <c r="C212" s="22"/>
      <c r="D212" s="22"/>
      <c r="E212" s="10" t="s">
        <v>5</v>
      </c>
      <c r="F212" s="15" t="s">
        <v>6</v>
      </c>
      <c r="G212" s="15" t="s">
        <v>7</v>
      </c>
      <c r="H212" s="15" t="s">
        <v>6</v>
      </c>
      <c r="I212" s="15" t="s">
        <v>8</v>
      </c>
      <c r="J212" s="15" t="s">
        <v>6</v>
      </c>
      <c r="K212" s="15" t="s">
        <v>9</v>
      </c>
      <c r="L212" s="15" t="s">
        <v>6</v>
      </c>
      <c r="M212" s="15" t="s">
        <v>10</v>
      </c>
      <c r="N212" s="15" t="s">
        <v>6</v>
      </c>
      <c r="O212" s="15" t="s">
        <v>11</v>
      </c>
      <c r="P212" s="15" t="s">
        <v>6</v>
      </c>
      <c r="Q212" s="15" t="s">
        <v>12</v>
      </c>
      <c r="R212" s="15" t="s">
        <v>6</v>
      </c>
      <c r="S212" s="15" t="s">
        <v>13</v>
      </c>
      <c r="T212" s="16" t="s">
        <v>6</v>
      </c>
    </row>
    <row r="213" spans="1:20" ht="250.9">
      <c r="A213" s="23" t="s">
        <v>14</v>
      </c>
      <c r="B213" s="24">
        <v>3</v>
      </c>
      <c r="C213" s="24">
        <v>11</v>
      </c>
      <c r="D213" s="25">
        <v>14</v>
      </c>
      <c r="E213" s="18" t="s">
        <v>618</v>
      </c>
      <c r="F213" s="26" t="s">
        <v>19</v>
      </c>
      <c r="G213" s="18" t="s">
        <v>619</v>
      </c>
      <c r="H213" s="26" t="s">
        <v>19</v>
      </c>
      <c r="I213" s="18" t="s">
        <v>309</v>
      </c>
      <c r="J213" s="26" t="s">
        <v>19</v>
      </c>
      <c r="K213" s="18" t="s">
        <v>620</v>
      </c>
      <c r="L213" s="26" t="s">
        <v>19</v>
      </c>
      <c r="M213" s="18" t="s">
        <v>621</v>
      </c>
      <c r="N213" s="26" t="s">
        <v>19</v>
      </c>
      <c r="O213" s="18" t="s">
        <v>622</v>
      </c>
      <c r="P213" s="26" t="s">
        <v>19</v>
      </c>
      <c r="Q213" s="18" t="s">
        <v>623</v>
      </c>
      <c r="R213" s="36" t="s">
        <v>610</v>
      </c>
      <c r="S213" s="18"/>
      <c r="T213" s="16"/>
    </row>
    <row r="214" spans="1:20">
      <c r="A214" s="22"/>
      <c r="B214" s="22"/>
      <c r="C214" s="22"/>
      <c r="D214" s="22"/>
      <c r="E214" s="87" t="s">
        <v>603</v>
      </c>
      <c r="F214" s="88"/>
      <c r="G214" s="88"/>
      <c r="H214" s="88"/>
      <c r="I214" s="88"/>
      <c r="J214" s="88"/>
      <c r="K214" s="88"/>
      <c r="L214" s="88"/>
      <c r="M214" s="88"/>
      <c r="N214" s="88"/>
      <c r="O214" s="88"/>
      <c r="P214" s="88"/>
      <c r="Q214" s="88"/>
      <c r="R214" s="88"/>
      <c r="S214" s="88"/>
      <c r="T214" s="89"/>
    </row>
    <row r="215" spans="1:20">
      <c r="A215" s="22"/>
      <c r="B215" s="22"/>
      <c r="C215" s="22"/>
      <c r="D215" s="22"/>
      <c r="E215" s="10" t="s">
        <v>5</v>
      </c>
      <c r="F215" s="15" t="s">
        <v>6</v>
      </c>
      <c r="G215" s="15" t="s">
        <v>7</v>
      </c>
      <c r="H215" s="15" t="s">
        <v>6</v>
      </c>
      <c r="I215" s="15" t="s">
        <v>8</v>
      </c>
      <c r="J215" s="15" t="s">
        <v>6</v>
      </c>
      <c r="K215" s="15" t="s">
        <v>9</v>
      </c>
      <c r="L215" s="15" t="s">
        <v>6</v>
      </c>
      <c r="M215" s="15" t="s">
        <v>10</v>
      </c>
      <c r="N215" s="15" t="s">
        <v>6</v>
      </c>
      <c r="O215" s="15" t="s">
        <v>11</v>
      </c>
      <c r="P215" s="15" t="s">
        <v>6</v>
      </c>
      <c r="Q215" s="15" t="s">
        <v>12</v>
      </c>
      <c r="R215" s="15" t="s">
        <v>6</v>
      </c>
      <c r="S215" s="15" t="s">
        <v>13</v>
      </c>
      <c r="T215" s="16" t="s">
        <v>6</v>
      </c>
    </row>
    <row r="216" spans="1:20" ht="277.14999999999998">
      <c r="A216" s="23" t="s">
        <v>14</v>
      </c>
      <c r="B216" s="24">
        <v>3</v>
      </c>
      <c r="C216" s="24">
        <v>11</v>
      </c>
      <c r="D216" s="25">
        <v>17</v>
      </c>
      <c r="E216" s="18" t="s">
        <v>624</v>
      </c>
      <c r="F216" s="26" t="s">
        <v>19</v>
      </c>
      <c r="G216" s="18" t="s">
        <v>625</v>
      </c>
      <c r="H216" s="26" t="s">
        <v>19</v>
      </c>
      <c r="I216" s="18" t="s">
        <v>309</v>
      </c>
      <c r="J216" s="26" t="s">
        <v>19</v>
      </c>
      <c r="K216" s="18" t="s">
        <v>626</v>
      </c>
      <c r="L216" s="26" t="s">
        <v>19</v>
      </c>
      <c r="M216" s="18" t="s">
        <v>627</v>
      </c>
      <c r="N216" s="26" t="s">
        <v>19</v>
      </c>
      <c r="O216" s="18" t="s">
        <v>628</v>
      </c>
      <c r="P216" s="40" t="s">
        <v>629</v>
      </c>
      <c r="Q216" s="18" t="s">
        <v>630</v>
      </c>
      <c r="R216" s="36" t="s">
        <v>610</v>
      </c>
      <c r="S216" s="18"/>
      <c r="T216" s="16"/>
    </row>
    <row r="217" spans="1:20">
      <c r="A217" s="22"/>
      <c r="B217" s="22"/>
      <c r="C217" s="22"/>
      <c r="D217" s="22"/>
      <c r="E217" s="87" t="s">
        <v>603</v>
      </c>
      <c r="F217" s="88"/>
      <c r="G217" s="88"/>
      <c r="H217" s="88"/>
      <c r="I217" s="88"/>
      <c r="J217" s="88"/>
      <c r="K217" s="88"/>
      <c r="L217" s="88"/>
      <c r="M217" s="88"/>
      <c r="N217" s="88"/>
      <c r="O217" s="88"/>
      <c r="P217" s="88"/>
      <c r="Q217" s="88"/>
      <c r="R217" s="88"/>
      <c r="S217" s="88"/>
      <c r="T217" s="89"/>
    </row>
    <row r="218" spans="1:20">
      <c r="A218" s="22"/>
      <c r="B218" s="22"/>
      <c r="C218" s="22"/>
      <c r="D218" s="22"/>
      <c r="E218" s="10" t="s">
        <v>5</v>
      </c>
      <c r="F218" s="15" t="s">
        <v>6</v>
      </c>
      <c r="G218" s="15" t="s">
        <v>7</v>
      </c>
      <c r="H218" s="15" t="s">
        <v>6</v>
      </c>
      <c r="I218" s="15" t="s">
        <v>8</v>
      </c>
      <c r="J218" s="15" t="s">
        <v>6</v>
      </c>
      <c r="K218" s="15" t="s">
        <v>9</v>
      </c>
      <c r="L218" s="15" t="s">
        <v>6</v>
      </c>
      <c r="M218" s="15" t="s">
        <v>10</v>
      </c>
      <c r="N218" s="15" t="s">
        <v>6</v>
      </c>
      <c r="O218" s="15" t="s">
        <v>11</v>
      </c>
      <c r="P218" s="15" t="s">
        <v>6</v>
      </c>
      <c r="Q218" s="15" t="s">
        <v>12</v>
      </c>
      <c r="R218" s="15" t="s">
        <v>6</v>
      </c>
      <c r="S218" s="15" t="s">
        <v>13</v>
      </c>
      <c r="T218" s="16" t="s">
        <v>6</v>
      </c>
    </row>
    <row r="219" spans="1:20" ht="264">
      <c r="A219" s="23" t="s">
        <v>14</v>
      </c>
      <c r="B219" s="24">
        <v>3</v>
      </c>
      <c r="C219" s="24">
        <v>11</v>
      </c>
      <c r="D219" s="25">
        <v>22</v>
      </c>
      <c r="E219" s="18" t="s">
        <v>631</v>
      </c>
      <c r="F219" s="26" t="s">
        <v>19</v>
      </c>
      <c r="G219" s="18" t="s">
        <v>632</v>
      </c>
      <c r="H219" s="26" t="s">
        <v>19</v>
      </c>
      <c r="I219" s="18" t="s">
        <v>309</v>
      </c>
      <c r="J219" s="26" t="s">
        <v>19</v>
      </c>
      <c r="K219" s="18" t="s">
        <v>633</v>
      </c>
      <c r="L219" s="26" t="s">
        <v>19</v>
      </c>
      <c r="M219" s="18" t="s">
        <v>634</v>
      </c>
      <c r="N219" s="26" t="s">
        <v>19</v>
      </c>
      <c r="O219" s="18" t="s">
        <v>635</v>
      </c>
      <c r="P219" s="26" t="s">
        <v>19</v>
      </c>
      <c r="Q219" s="18" t="s">
        <v>636</v>
      </c>
      <c r="R219" s="40" t="s">
        <v>637</v>
      </c>
      <c r="S219" s="18"/>
      <c r="T219" s="16"/>
    </row>
    <row r="220" spans="1:20">
      <c r="A220" s="22"/>
      <c r="B220" s="22"/>
      <c r="C220" s="22"/>
      <c r="D220" s="22"/>
      <c r="E220" s="87" t="s">
        <v>603</v>
      </c>
      <c r="F220" s="88"/>
      <c r="G220" s="88"/>
      <c r="H220" s="88"/>
      <c r="I220" s="88"/>
      <c r="J220" s="88"/>
      <c r="K220" s="88"/>
      <c r="L220" s="88"/>
      <c r="M220" s="88"/>
      <c r="N220" s="88"/>
      <c r="O220" s="88"/>
      <c r="P220" s="88"/>
      <c r="Q220" s="88"/>
      <c r="R220" s="88"/>
      <c r="S220" s="88"/>
      <c r="T220" s="89"/>
    </row>
    <row r="221" spans="1:20">
      <c r="A221" s="22"/>
      <c r="B221" s="22"/>
      <c r="C221" s="22"/>
      <c r="D221" s="22"/>
      <c r="E221" s="10" t="s">
        <v>5</v>
      </c>
      <c r="F221" s="15" t="s">
        <v>6</v>
      </c>
      <c r="G221" s="15" t="s">
        <v>7</v>
      </c>
      <c r="H221" s="15" t="s">
        <v>6</v>
      </c>
      <c r="I221" s="15" t="s">
        <v>8</v>
      </c>
      <c r="J221" s="15" t="s">
        <v>6</v>
      </c>
      <c r="K221" s="15" t="s">
        <v>9</v>
      </c>
      <c r="L221" s="15" t="s">
        <v>6</v>
      </c>
      <c r="M221" s="15" t="s">
        <v>10</v>
      </c>
      <c r="N221" s="15" t="s">
        <v>6</v>
      </c>
      <c r="O221" s="15" t="s">
        <v>11</v>
      </c>
      <c r="P221" s="15" t="s">
        <v>6</v>
      </c>
      <c r="Q221" s="15" t="s">
        <v>12</v>
      </c>
      <c r="R221" s="15" t="s">
        <v>6</v>
      </c>
      <c r="S221" s="15" t="s">
        <v>13</v>
      </c>
      <c r="T221" s="16" t="s">
        <v>6</v>
      </c>
    </row>
    <row r="222" spans="1:20" ht="219.75" customHeight="1">
      <c r="A222" s="23" t="s">
        <v>14</v>
      </c>
      <c r="B222" s="24">
        <v>3</v>
      </c>
      <c r="C222" s="24">
        <v>11</v>
      </c>
      <c r="D222" s="25">
        <v>23</v>
      </c>
      <c r="E222" s="18" t="s">
        <v>638</v>
      </c>
      <c r="F222" s="26" t="s">
        <v>19</v>
      </c>
      <c r="G222" s="18" t="s">
        <v>639</v>
      </c>
      <c r="H222" s="26" t="s">
        <v>19</v>
      </c>
      <c r="I222" s="18" t="s">
        <v>309</v>
      </c>
      <c r="J222" s="26" t="s">
        <v>19</v>
      </c>
      <c r="K222" s="18" t="s">
        <v>640</v>
      </c>
      <c r="L222" s="26" t="s">
        <v>19</v>
      </c>
      <c r="M222" s="18" t="s">
        <v>641</v>
      </c>
      <c r="N222" s="26" t="s">
        <v>19</v>
      </c>
      <c r="O222" s="18" t="s">
        <v>642</v>
      </c>
      <c r="P222" s="26" t="s">
        <v>19</v>
      </c>
      <c r="Q222" s="18" t="s">
        <v>643</v>
      </c>
      <c r="R222" s="36" t="s">
        <v>610</v>
      </c>
      <c r="S222" s="18"/>
      <c r="T222" s="16"/>
    </row>
    <row r="223" spans="1:20">
      <c r="A223" s="22"/>
      <c r="B223" s="22"/>
      <c r="C223" s="22"/>
      <c r="D223" s="22"/>
      <c r="E223" s="87" t="s">
        <v>603</v>
      </c>
      <c r="F223" s="88"/>
      <c r="G223" s="88"/>
      <c r="H223" s="88"/>
      <c r="I223" s="88"/>
      <c r="J223" s="88"/>
      <c r="K223" s="88"/>
      <c r="L223" s="88"/>
      <c r="M223" s="88"/>
      <c r="N223" s="88"/>
      <c r="O223" s="88"/>
      <c r="P223" s="88"/>
      <c r="Q223" s="88"/>
      <c r="R223" s="88"/>
      <c r="S223" s="88"/>
      <c r="T223" s="89"/>
    </row>
    <row r="224" spans="1:20">
      <c r="A224" s="22"/>
      <c r="B224" s="22"/>
      <c r="C224" s="22"/>
      <c r="D224" s="22"/>
      <c r="E224" s="10" t="s">
        <v>5</v>
      </c>
      <c r="F224" s="15" t="s">
        <v>6</v>
      </c>
      <c r="G224" s="15" t="s">
        <v>7</v>
      </c>
      <c r="H224" s="15" t="s">
        <v>6</v>
      </c>
      <c r="I224" s="15" t="s">
        <v>8</v>
      </c>
      <c r="J224" s="15" t="s">
        <v>6</v>
      </c>
      <c r="K224" s="15" t="s">
        <v>9</v>
      </c>
      <c r="L224" s="15" t="s">
        <v>6</v>
      </c>
      <c r="M224" s="15" t="s">
        <v>10</v>
      </c>
      <c r="N224" s="15" t="s">
        <v>6</v>
      </c>
      <c r="O224" s="15" t="s">
        <v>11</v>
      </c>
      <c r="P224" s="15" t="s">
        <v>6</v>
      </c>
      <c r="Q224" s="15" t="s">
        <v>12</v>
      </c>
      <c r="R224" s="15" t="s">
        <v>6</v>
      </c>
      <c r="S224" s="15" t="s">
        <v>13</v>
      </c>
      <c r="T224" s="16" t="s">
        <v>6</v>
      </c>
    </row>
    <row r="225" spans="1:20" ht="277.14999999999998">
      <c r="A225" s="23" t="s">
        <v>14</v>
      </c>
      <c r="B225" s="24">
        <v>3</v>
      </c>
      <c r="C225" s="24">
        <v>11</v>
      </c>
      <c r="D225" s="25">
        <v>27</v>
      </c>
      <c r="E225" s="18" t="s">
        <v>644</v>
      </c>
      <c r="F225" s="26" t="s">
        <v>19</v>
      </c>
      <c r="G225" s="18" t="s">
        <v>645</v>
      </c>
      <c r="H225" s="26" t="s">
        <v>19</v>
      </c>
      <c r="I225" s="18" t="s">
        <v>309</v>
      </c>
      <c r="J225" s="26" t="s">
        <v>19</v>
      </c>
      <c r="K225" s="18" t="s">
        <v>646</v>
      </c>
      <c r="L225" s="26" t="s">
        <v>19</v>
      </c>
      <c r="M225" s="18" t="s">
        <v>647</v>
      </c>
      <c r="N225" s="26" t="s">
        <v>19</v>
      </c>
      <c r="O225" s="18" t="s">
        <v>648</v>
      </c>
      <c r="P225" s="40" t="s">
        <v>649</v>
      </c>
      <c r="Q225" s="18" t="s">
        <v>650</v>
      </c>
      <c r="R225" s="40" t="s">
        <v>651</v>
      </c>
      <c r="S225" s="18"/>
      <c r="T225" s="16"/>
    </row>
    <row r="226" spans="1:20">
      <c r="A226" s="22"/>
      <c r="B226" s="22"/>
      <c r="C226" s="22"/>
      <c r="D226" s="22"/>
      <c r="E226" s="87" t="s">
        <v>603</v>
      </c>
      <c r="F226" s="88"/>
      <c r="G226" s="88"/>
      <c r="H226" s="88"/>
      <c r="I226" s="88"/>
      <c r="J226" s="88"/>
      <c r="K226" s="88"/>
      <c r="L226" s="88"/>
      <c r="M226" s="88"/>
      <c r="N226" s="88"/>
      <c r="O226" s="88"/>
      <c r="P226" s="88"/>
      <c r="Q226" s="88"/>
      <c r="R226" s="88"/>
      <c r="S226" s="88"/>
      <c r="T226" s="89"/>
    </row>
    <row r="227" spans="1:20">
      <c r="A227" s="22"/>
      <c r="B227" s="22"/>
      <c r="C227" s="22"/>
      <c r="D227" s="22"/>
      <c r="E227" s="10" t="s">
        <v>5</v>
      </c>
      <c r="F227" s="15" t="s">
        <v>6</v>
      </c>
      <c r="G227" s="15" t="s">
        <v>7</v>
      </c>
      <c r="H227" s="15" t="s">
        <v>6</v>
      </c>
      <c r="I227" s="15" t="s">
        <v>8</v>
      </c>
      <c r="J227" s="15" t="s">
        <v>6</v>
      </c>
      <c r="K227" s="15" t="s">
        <v>9</v>
      </c>
      <c r="L227" s="15" t="s">
        <v>6</v>
      </c>
      <c r="M227" s="15" t="s">
        <v>10</v>
      </c>
      <c r="N227" s="15" t="s">
        <v>6</v>
      </c>
      <c r="O227" s="15" t="s">
        <v>11</v>
      </c>
      <c r="P227" s="15" t="s">
        <v>6</v>
      </c>
      <c r="Q227" s="15" t="s">
        <v>12</v>
      </c>
      <c r="R227" s="15" t="s">
        <v>6</v>
      </c>
      <c r="S227" s="15" t="s">
        <v>13</v>
      </c>
      <c r="T227" s="16" t="s">
        <v>6</v>
      </c>
    </row>
    <row r="228" spans="1:20" ht="171.6">
      <c r="A228" s="23" t="s">
        <v>14</v>
      </c>
      <c r="B228" s="24">
        <v>3</v>
      </c>
      <c r="C228" s="24">
        <v>11</v>
      </c>
      <c r="D228" s="25">
        <v>30</v>
      </c>
      <c r="E228" s="18" t="s">
        <v>652</v>
      </c>
      <c r="F228" s="34" t="s">
        <v>653</v>
      </c>
      <c r="G228" s="18" t="s">
        <v>654</v>
      </c>
      <c r="H228" s="34" t="s">
        <v>655</v>
      </c>
      <c r="I228" s="18" t="s">
        <v>656</v>
      </c>
      <c r="J228" s="34" t="s">
        <v>655</v>
      </c>
      <c r="K228" s="18" t="s">
        <v>657</v>
      </c>
      <c r="L228" s="34" t="s">
        <v>658</v>
      </c>
      <c r="M228" s="18" t="s">
        <v>659</v>
      </c>
      <c r="N228" s="39" t="s">
        <v>660</v>
      </c>
      <c r="O228" s="18" t="s">
        <v>661</v>
      </c>
      <c r="P228" s="40" t="s">
        <v>662</v>
      </c>
      <c r="Q228" s="18" t="s">
        <v>663</v>
      </c>
      <c r="R228" s="40" t="s">
        <v>664</v>
      </c>
      <c r="S228" s="18"/>
      <c r="T228" s="16"/>
    </row>
    <row r="229" spans="1:20">
      <c r="A229" s="22"/>
      <c r="B229" s="22"/>
      <c r="C229" s="22"/>
      <c r="D229" s="22"/>
      <c r="E229" s="87" t="s">
        <v>665</v>
      </c>
      <c r="F229" s="88"/>
      <c r="G229" s="88"/>
      <c r="H229" s="88"/>
      <c r="I229" s="88"/>
      <c r="J229" s="88"/>
      <c r="K229" s="88"/>
      <c r="L229" s="88"/>
      <c r="M229" s="88"/>
      <c r="N229" s="88"/>
      <c r="O229" s="88"/>
      <c r="P229" s="88"/>
      <c r="Q229" s="88"/>
      <c r="R229" s="88"/>
      <c r="S229" s="88"/>
      <c r="T229" s="89"/>
    </row>
    <row r="230" spans="1:20">
      <c r="A230" s="22"/>
      <c r="B230" s="22"/>
      <c r="C230" s="22"/>
      <c r="D230" s="22"/>
      <c r="E230" s="10" t="s">
        <v>5</v>
      </c>
      <c r="F230" s="15" t="s">
        <v>6</v>
      </c>
      <c r="G230" s="15" t="s">
        <v>7</v>
      </c>
      <c r="H230" s="15" t="s">
        <v>6</v>
      </c>
      <c r="I230" s="15" t="s">
        <v>8</v>
      </c>
      <c r="J230" s="15" t="s">
        <v>6</v>
      </c>
      <c r="K230" s="15" t="s">
        <v>9</v>
      </c>
      <c r="L230" s="15" t="s">
        <v>6</v>
      </c>
      <c r="M230" s="15" t="s">
        <v>10</v>
      </c>
      <c r="N230" s="15" t="s">
        <v>6</v>
      </c>
      <c r="O230" s="15" t="s">
        <v>11</v>
      </c>
      <c r="P230" s="15" t="s">
        <v>6</v>
      </c>
      <c r="Q230" s="15" t="s">
        <v>12</v>
      </c>
      <c r="R230" s="15" t="s">
        <v>6</v>
      </c>
      <c r="S230" s="15" t="s">
        <v>13</v>
      </c>
      <c r="T230" s="16" t="s">
        <v>6</v>
      </c>
    </row>
    <row r="231" spans="1:20" ht="158.44999999999999">
      <c r="A231" s="23" t="s">
        <v>14</v>
      </c>
      <c r="B231" s="24">
        <v>3</v>
      </c>
      <c r="C231" s="24">
        <v>12</v>
      </c>
      <c r="D231" s="25">
        <v>4</v>
      </c>
      <c r="E231" s="18" t="s">
        <v>666</v>
      </c>
      <c r="F231" s="36" t="s">
        <v>667</v>
      </c>
      <c r="G231" s="18" t="s">
        <v>668</v>
      </c>
      <c r="H231" s="36" t="s">
        <v>667</v>
      </c>
      <c r="I231" s="18" t="s">
        <v>669</v>
      </c>
      <c r="J231" s="34" t="s">
        <v>670</v>
      </c>
      <c r="K231" s="18" t="s">
        <v>671</v>
      </c>
      <c r="L231" s="26" t="s">
        <v>19</v>
      </c>
      <c r="M231" s="18" t="s">
        <v>672</v>
      </c>
      <c r="N231" s="36" t="s">
        <v>673</v>
      </c>
      <c r="O231" s="18" t="s">
        <v>674</v>
      </c>
      <c r="P231" s="26" t="s">
        <v>19</v>
      </c>
      <c r="Q231" s="18" t="s">
        <v>23</v>
      </c>
      <c r="R231" s="26" t="s">
        <v>19</v>
      </c>
      <c r="S231" s="18"/>
      <c r="T231" s="16"/>
    </row>
    <row r="232" spans="1:20">
      <c r="A232" s="22"/>
      <c r="B232" s="22"/>
      <c r="C232" s="22"/>
      <c r="D232" s="22"/>
      <c r="E232" s="87" t="s">
        <v>665</v>
      </c>
      <c r="F232" s="88"/>
      <c r="G232" s="88"/>
      <c r="H232" s="88"/>
      <c r="I232" s="88"/>
      <c r="J232" s="88"/>
      <c r="K232" s="88"/>
      <c r="L232" s="88"/>
      <c r="M232" s="88"/>
      <c r="N232" s="88"/>
      <c r="O232" s="88"/>
      <c r="P232" s="88"/>
      <c r="Q232" s="88"/>
      <c r="R232" s="88"/>
      <c r="S232" s="88"/>
      <c r="T232" s="89"/>
    </row>
    <row r="233" spans="1:20">
      <c r="A233" s="22"/>
      <c r="B233" s="22"/>
      <c r="C233" s="22"/>
      <c r="D233" s="22"/>
      <c r="E233" s="10" t="s">
        <v>5</v>
      </c>
      <c r="F233" s="15" t="s">
        <v>6</v>
      </c>
      <c r="G233" s="15" t="s">
        <v>7</v>
      </c>
      <c r="H233" s="15" t="s">
        <v>6</v>
      </c>
      <c r="I233" s="15" t="s">
        <v>8</v>
      </c>
      <c r="J233" s="15" t="s">
        <v>6</v>
      </c>
      <c r="K233" s="15" t="s">
        <v>9</v>
      </c>
      <c r="L233" s="15" t="s">
        <v>6</v>
      </c>
      <c r="M233" s="15" t="s">
        <v>10</v>
      </c>
      <c r="N233" s="15" t="s">
        <v>6</v>
      </c>
      <c r="O233" s="15" t="s">
        <v>11</v>
      </c>
      <c r="P233" s="15" t="s">
        <v>6</v>
      </c>
      <c r="Q233" s="15" t="s">
        <v>12</v>
      </c>
      <c r="R233" s="15" t="s">
        <v>6</v>
      </c>
      <c r="S233" s="15" t="s">
        <v>13</v>
      </c>
      <c r="T233" s="16" t="s">
        <v>6</v>
      </c>
    </row>
    <row r="234" spans="1:20" ht="250.9">
      <c r="A234" s="23" t="s">
        <v>14</v>
      </c>
      <c r="B234" s="24">
        <v>3</v>
      </c>
      <c r="C234" s="24">
        <v>12</v>
      </c>
      <c r="D234" s="25">
        <v>9</v>
      </c>
      <c r="E234" s="18" t="s">
        <v>675</v>
      </c>
      <c r="F234" s="36" t="s">
        <v>667</v>
      </c>
      <c r="G234" s="18" t="s">
        <v>676</v>
      </c>
      <c r="H234" s="34" t="s">
        <v>677</v>
      </c>
      <c r="I234" s="18" t="s">
        <v>678</v>
      </c>
      <c r="J234" s="34" t="s">
        <v>670</v>
      </c>
      <c r="K234" s="18" t="s">
        <v>679</v>
      </c>
      <c r="L234" s="26" t="s">
        <v>19</v>
      </c>
      <c r="M234" s="18" t="s">
        <v>680</v>
      </c>
      <c r="N234" s="36" t="s">
        <v>673</v>
      </c>
      <c r="O234" s="18" t="s">
        <v>681</v>
      </c>
      <c r="P234" s="26" t="s">
        <v>682</v>
      </c>
      <c r="Q234" s="18" t="s">
        <v>128</v>
      </c>
      <c r="R234" s="26" t="s">
        <v>19</v>
      </c>
      <c r="S234" s="18"/>
      <c r="T234" s="16"/>
    </row>
    <row r="235" spans="1:20">
      <c r="A235" s="22"/>
      <c r="B235" s="22"/>
      <c r="C235" s="22"/>
      <c r="D235" s="22"/>
      <c r="E235" s="87" t="s">
        <v>665</v>
      </c>
      <c r="F235" s="88"/>
      <c r="G235" s="88"/>
      <c r="H235" s="88"/>
      <c r="I235" s="88"/>
      <c r="J235" s="88"/>
      <c r="K235" s="88"/>
      <c r="L235" s="88"/>
      <c r="M235" s="88"/>
      <c r="N235" s="88"/>
      <c r="O235" s="88"/>
      <c r="P235" s="88"/>
      <c r="Q235" s="88"/>
      <c r="R235" s="88"/>
      <c r="S235" s="88"/>
      <c r="T235" s="89"/>
    </row>
    <row r="236" spans="1:20">
      <c r="A236" s="22"/>
      <c r="B236" s="22"/>
      <c r="C236" s="22"/>
      <c r="D236" s="22"/>
      <c r="E236" s="10" t="s">
        <v>5</v>
      </c>
      <c r="F236" s="15" t="s">
        <v>6</v>
      </c>
      <c r="G236" s="15" t="s">
        <v>7</v>
      </c>
      <c r="H236" s="15" t="s">
        <v>6</v>
      </c>
      <c r="I236" s="15" t="s">
        <v>8</v>
      </c>
      <c r="J236" s="15" t="s">
        <v>6</v>
      </c>
      <c r="K236" s="15" t="s">
        <v>9</v>
      </c>
      <c r="L236" s="15" t="s">
        <v>6</v>
      </c>
      <c r="M236" s="15" t="s">
        <v>10</v>
      </c>
      <c r="N236" s="15" t="s">
        <v>6</v>
      </c>
      <c r="O236" s="15" t="s">
        <v>11</v>
      </c>
      <c r="P236" s="15" t="s">
        <v>6</v>
      </c>
      <c r="Q236" s="15" t="s">
        <v>12</v>
      </c>
      <c r="R236" s="15" t="s">
        <v>6</v>
      </c>
      <c r="S236" s="15" t="s">
        <v>13</v>
      </c>
      <c r="T236" s="16" t="s">
        <v>6</v>
      </c>
    </row>
    <row r="237" spans="1:20" ht="250.9">
      <c r="A237" s="23" t="s">
        <v>14</v>
      </c>
      <c r="B237" s="24">
        <v>3</v>
      </c>
      <c r="C237" s="24">
        <v>12</v>
      </c>
      <c r="D237" s="25">
        <v>18</v>
      </c>
      <c r="E237" s="18" t="s">
        <v>683</v>
      </c>
      <c r="F237" s="36" t="s">
        <v>667</v>
      </c>
      <c r="G237" s="18" t="s">
        <v>684</v>
      </c>
      <c r="H237" s="34" t="s">
        <v>685</v>
      </c>
      <c r="I237" s="18" t="s">
        <v>686</v>
      </c>
      <c r="J237" s="34" t="s">
        <v>670</v>
      </c>
      <c r="K237" s="18" t="s">
        <v>687</v>
      </c>
      <c r="L237" s="36" t="s">
        <v>688</v>
      </c>
      <c r="M237" s="18" t="s">
        <v>689</v>
      </c>
      <c r="N237" s="36" t="s">
        <v>690</v>
      </c>
      <c r="O237" s="18" t="s">
        <v>691</v>
      </c>
      <c r="P237" s="26" t="s">
        <v>19</v>
      </c>
      <c r="Q237" s="18" t="s">
        <v>23</v>
      </c>
      <c r="R237" s="26" t="s">
        <v>19</v>
      </c>
      <c r="S237" s="18"/>
      <c r="T237" s="16"/>
    </row>
    <row r="238" spans="1:20">
      <c r="A238" s="22"/>
      <c r="B238" s="22"/>
      <c r="C238" s="22"/>
      <c r="D238" s="22"/>
      <c r="E238" s="87" t="s">
        <v>665</v>
      </c>
      <c r="F238" s="88"/>
      <c r="G238" s="88"/>
      <c r="H238" s="88"/>
      <c r="I238" s="88"/>
      <c r="J238" s="88"/>
      <c r="K238" s="88"/>
      <c r="L238" s="88"/>
      <c r="M238" s="88"/>
      <c r="N238" s="88"/>
      <c r="O238" s="88"/>
      <c r="P238" s="88"/>
      <c r="Q238" s="88"/>
      <c r="R238" s="88"/>
      <c r="S238" s="88"/>
      <c r="T238" s="89"/>
    </row>
    <row r="239" spans="1:20">
      <c r="A239" s="22"/>
      <c r="B239" s="22"/>
      <c r="C239" s="22"/>
      <c r="D239" s="22"/>
      <c r="E239" s="10" t="s">
        <v>5</v>
      </c>
      <c r="F239" s="15" t="s">
        <v>6</v>
      </c>
      <c r="G239" s="15" t="s">
        <v>7</v>
      </c>
      <c r="H239" s="15" t="s">
        <v>6</v>
      </c>
      <c r="I239" s="15" t="s">
        <v>8</v>
      </c>
      <c r="J239" s="15" t="s">
        <v>6</v>
      </c>
      <c r="K239" s="15" t="s">
        <v>9</v>
      </c>
      <c r="L239" s="15" t="s">
        <v>6</v>
      </c>
      <c r="M239" s="15" t="s">
        <v>10</v>
      </c>
      <c r="N239" s="15" t="s">
        <v>6</v>
      </c>
      <c r="O239" s="15" t="s">
        <v>11</v>
      </c>
      <c r="P239" s="15" t="s">
        <v>6</v>
      </c>
      <c r="Q239" s="15" t="s">
        <v>12</v>
      </c>
      <c r="R239" s="15" t="s">
        <v>6</v>
      </c>
      <c r="S239" s="15" t="s">
        <v>13</v>
      </c>
      <c r="T239" s="16" t="s">
        <v>6</v>
      </c>
    </row>
    <row r="240" spans="1:20" ht="250.9">
      <c r="A240" s="23" t="s">
        <v>14</v>
      </c>
      <c r="B240" s="24">
        <v>3</v>
      </c>
      <c r="C240" s="24">
        <v>12</v>
      </c>
      <c r="D240" s="25">
        <v>20</v>
      </c>
      <c r="E240" s="18" t="s">
        <v>692</v>
      </c>
      <c r="F240" s="36" t="s">
        <v>667</v>
      </c>
      <c r="G240" s="18" t="s">
        <v>693</v>
      </c>
      <c r="H240" s="34" t="s">
        <v>694</v>
      </c>
      <c r="I240" s="18" t="s">
        <v>686</v>
      </c>
      <c r="J240" s="34" t="s">
        <v>670</v>
      </c>
      <c r="K240" s="18" t="s">
        <v>695</v>
      </c>
      <c r="L240" s="26" t="s">
        <v>19</v>
      </c>
      <c r="M240" s="18" t="s">
        <v>696</v>
      </c>
      <c r="N240" s="36" t="s">
        <v>697</v>
      </c>
      <c r="O240" s="18" t="s">
        <v>698</v>
      </c>
      <c r="P240" s="26" t="s">
        <v>19</v>
      </c>
      <c r="Q240" s="18" t="s">
        <v>699</v>
      </c>
      <c r="R240" s="36" t="s">
        <v>700</v>
      </c>
      <c r="S240" s="18"/>
      <c r="T240" s="16"/>
    </row>
    <row r="241" spans="1:20">
      <c r="A241" s="22"/>
      <c r="B241" s="22"/>
      <c r="C241" s="22"/>
      <c r="D241" s="22"/>
      <c r="E241" s="87" t="s">
        <v>665</v>
      </c>
      <c r="F241" s="88"/>
      <c r="G241" s="88"/>
      <c r="H241" s="88"/>
      <c r="I241" s="88"/>
      <c r="J241" s="88"/>
      <c r="K241" s="88"/>
      <c r="L241" s="88"/>
      <c r="M241" s="88"/>
      <c r="N241" s="88"/>
      <c r="O241" s="88"/>
      <c r="P241" s="88"/>
      <c r="Q241" s="88"/>
      <c r="R241" s="88"/>
      <c r="S241" s="88"/>
      <c r="T241" s="89"/>
    </row>
    <row r="242" spans="1:20">
      <c r="A242" s="22"/>
      <c r="B242" s="22"/>
      <c r="C242" s="22"/>
      <c r="D242" s="22"/>
      <c r="E242" s="10" t="s">
        <v>5</v>
      </c>
      <c r="F242" s="15" t="s">
        <v>6</v>
      </c>
      <c r="G242" s="15" t="s">
        <v>7</v>
      </c>
      <c r="H242" s="15" t="s">
        <v>6</v>
      </c>
      <c r="I242" s="15" t="s">
        <v>8</v>
      </c>
      <c r="J242" s="15" t="s">
        <v>6</v>
      </c>
      <c r="K242" s="15" t="s">
        <v>9</v>
      </c>
      <c r="L242" s="15" t="s">
        <v>6</v>
      </c>
      <c r="M242" s="15" t="s">
        <v>10</v>
      </c>
      <c r="N242" s="15" t="s">
        <v>6</v>
      </c>
      <c r="O242" s="15" t="s">
        <v>11</v>
      </c>
      <c r="P242" s="15" t="s">
        <v>6</v>
      </c>
      <c r="Q242" s="15" t="s">
        <v>12</v>
      </c>
      <c r="R242" s="15" t="s">
        <v>6</v>
      </c>
      <c r="S242" s="15" t="s">
        <v>13</v>
      </c>
      <c r="T242" s="16" t="s">
        <v>6</v>
      </c>
    </row>
    <row r="243" spans="1:20" ht="369.6">
      <c r="A243" s="23" t="s">
        <v>14</v>
      </c>
      <c r="B243" s="24">
        <v>3</v>
      </c>
      <c r="C243" s="24">
        <v>12</v>
      </c>
      <c r="D243" s="25">
        <v>24</v>
      </c>
      <c r="E243" s="18" t="s">
        <v>701</v>
      </c>
      <c r="F243" s="36" t="s">
        <v>667</v>
      </c>
      <c r="G243" s="18" t="s">
        <v>702</v>
      </c>
      <c r="H243" s="34" t="s">
        <v>703</v>
      </c>
      <c r="I243" s="18" t="s">
        <v>704</v>
      </c>
      <c r="J243" s="34" t="s">
        <v>670</v>
      </c>
      <c r="K243" s="18" t="s">
        <v>705</v>
      </c>
      <c r="L243" s="26" t="s">
        <v>19</v>
      </c>
      <c r="M243" s="18" t="s">
        <v>706</v>
      </c>
      <c r="N243" s="36" t="s">
        <v>673</v>
      </c>
      <c r="O243" s="18" t="s">
        <v>707</v>
      </c>
      <c r="P243" s="26" t="s">
        <v>19</v>
      </c>
      <c r="Q243" s="18" t="s">
        <v>128</v>
      </c>
      <c r="R243" s="26" t="s">
        <v>19</v>
      </c>
      <c r="S243" s="18"/>
      <c r="T243" s="16"/>
    </row>
    <row r="244" spans="1:20">
      <c r="A244" s="22"/>
      <c r="B244" s="22"/>
      <c r="C244" s="22"/>
      <c r="D244" s="22"/>
      <c r="E244" s="87" t="s">
        <v>665</v>
      </c>
      <c r="F244" s="88"/>
      <c r="G244" s="88"/>
      <c r="H244" s="88"/>
      <c r="I244" s="88"/>
      <c r="J244" s="88"/>
      <c r="K244" s="88"/>
      <c r="L244" s="88"/>
      <c r="M244" s="88"/>
      <c r="N244" s="88"/>
      <c r="O244" s="88"/>
      <c r="P244" s="88"/>
      <c r="Q244" s="88"/>
      <c r="R244" s="88"/>
      <c r="S244" s="88"/>
      <c r="T244" s="89"/>
    </row>
    <row r="245" spans="1:20">
      <c r="A245" s="22"/>
      <c r="B245" s="22"/>
      <c r="C245" s="22"/>
      <c r="D245" s="22"/>
      <c r="E245" s="10" t="s">
        <v>5</v>
      </c>
      <c r="F245" s="15" t="s">
        <v>6</v>
      </c>
      <c r="G245" s="15" t="s">
        <v>7</v>
      </c>
      <c r="H245" s="15" t="s">
        <v>6</v>
      </c>
      <c r="I245" s="15" t="s">
        <v>8</v>
      </c>
      <c r="J245" s="15" t="s">
        <v>6</v>
      </c>
      <c r="K245" s="15" t="s">
        <v>9</v>
      </c>
      <c r="L245" s="15" t="s">
        <v>6</v>
      </c>
      <c r="M245" s="15" t="s">
        <v>10</v>
      </c>
      <c r="N245" s="15" t="s">
        <v>6</v>
      </c>
      <c r="O245" s="15" t="s">
        <v>11</v>
      </c>
      <c r="P245" s="15" t="s">
        <v>6</v>
      </c>
      <c r="Q245" s="15" t="s">
        <v>12</v>
      </c>
      <c r="R245" s="15" t="s">
        <v>6</v>
      </c>
      <c r="S245" s="15" t="s">
        <v>13</v>
      </c>
      <c r="T245" s="16" t="s">
        <v>6</v>
      </c>
    </row>
    <row r="246" spans="1:20" ht="356.45">
      <c r="A246" s="23" t="s">
        <v>14</v>
      </c>
      <c r="B246" s="24">
        <v>3</v>
      </c>
      <c r="C246" s="24">
        <v>12</v>
      </c>
      <c r="D246" s="25">
        <v>27</v>
      </c>
      <c r="E246" s="18" t="s">
        <v>708</v>
      </c>
      <c r="F246" s="36" t="s">
        <v>667</v>
      </c>
      <c r="G246" s="18" t="s">
        <v>709</v>
      </c>
      <c r="H246" s="34" t="s">
        <v>710</v>
      </c>
      <c r="I246" s="18" t="s">
        <v>711</v>
      </c>
      <c r="J246" s="34" t="s">
        <v>670</v>
      </c>
      <c r="K246" s="18" t="s">
        <v>712</v>
      </c>
      <c r="L246" s="36" t="s">
        <v>688</v>
      </c>
      <c r="M246" s="18" t="s">
        <v>713</v>
      </c>
      <c r="N246" s="26" t="s">
        <v>19</v>
      </c>
      <c r="O246" s="18" t="s">
        <v>714</v>
      </c>
      <c r="P246" s="26" t="s">
        <v>19</v>
      </c>
      <c r="Q246" s="18" t="s">
        <v>715</v>
      </c>
      <c r="R246" s="36" t="s">
        <v>700</v>
      </c>
      <c r="S246" s="18"/>
      <c r="T246" s="16"/>
    </row>
    <row r="247" spans="1:20">
      <c r="A247" s="22"/>
      <c r="B247" s="22"/>
      <c r="C247" s="22"/>
      <c r="D247" s="22"/>
      <c r="E247" s="87" t="s">
        <v>716</v>
      </c>
      <c r="F247" s="88"/>
      <c r="G247" s="88"/>
      <c r="H247" s="88"/>
      <c r="I247" s="88"/>
      <c r="J247" s="88"/>
      <c r="K247" s="88"/>
      <c r="L247" s="88"/>
      <c r="M247" s="88"/>
      <c r="N247" s="88"/>
      <c r="O247" s="88"/>
      <c r="P247" s="88"/>
      <c r="Q247" s="88"/>
      <c r="R247" s="88"/>
      <c r="S247" s="88"/>
      <c r="T247" s="89"/>
    </row>
    <row r="248" spans="1:20">
      <c r="A248" s="22"/>
      <c r="B248" s="22"/>
      <c r="C248" s="22"/>
      <c r="D248" s="22"/>
      <c r="E248" s="10" t="s">
        <v>5</v>
      </c>
      <c r="F248" s="15" t="s">
        <v>6</v>
      </c>
      <c r="G248" s="15" t="s">
        <v>7</v>
      </c>
      <c r="H248" s="15" t="s">
        <v>6</v>
      </c>
      <c r="I248" s="15" t="s">
        <v>8</v>
      </c>
      <c r="J248" s="15" t="s">
        <v>6</v>
      </c>
      <c r="K248" s="15" t="s">
        <v>9</v>
      </c>
      <c r="L248" s="15" t="s">
        <v>6</v>
      </c>
      <c r="M248" s="15" t="s">
        <v>10</v>
      </c>
      <c r="N248" s="15" t="s">
        <v>6</v>
      </c>
      <c r="O248" s="15" t="s">
        <v>11</v>
      </c>
      <c r="P248" s="15" t="s">
        <v>6</v>
      </c>
      <c r="Q248" s="15" t="s">
        <v>12</v>
      </c>
      <c r="R248" s="15" t="s">
        <v>6</v>
      </c>
      <c r="S248" s="15" t="s">
        <v>13</v>
      </c>
      <c r="T248" s="16" t="s">
        <v>6</v>
      </c>
    </row>
    <row r="249" spans="1:20" ht="203.25" customHeight="1">
      <c r="A249" s="23" t="s">
        <v>14</v>
      </c>
      <c r="B249" s="24">
        <v>3</v>
      </c>
      <c r="C249" s="24">
        <v>13</v>
      </c>
      <c r="D249" s="25">
        <v>8</v>
      </c>
      <c r="E249" s="18" t="s">
        <v>717</v>
      </c>
      <c r="F249" s="26" t="s">
        <v>19</v>
      </c>
      <c r="G249" s="18" t="s">
        <v>718</v>
      </c>
      <c r="H249" s="26"/>
      <c r="I249" s="18" t="s">
        <v>719</v>
      </c>
      <c r="J249" s="36" t="s">
        <v>720</v>
      </c>
      <c r="K249" s="18" t="s">
        <v>721</v>
      </c>
      <c r="L249" s="26" t="s">
        <v>19</v>
      </c>
      <c r="M249" s="18" t="s">
        <v>722</v>
      </c>
      <c r="N249" s="36" t="s">
        <v>723</v>
      </c>
      <c r="O249" s="18" t="s">
        <v>724</v>
      </c>
      <c r="P249" s="36" t="s">
        <v>725</v>
      </c>
      <c r="Q249" s="18" t="s">
        <v>726</v>
      </c>
      <c r="R249" s="26" t="s">
        <v>334</v>
      </c>
      <c r="S249" s="18"/>
      <c r="T249" s="16"/>
    </row>
    <row r="250" spans="1:20">
      <c r="A250" s="22"/>
      <c r="B250" s="22"/>
      <c r="C250" s="22"/>
      <c r="D250" s="22"/>
      <c r="E250" s="87" t="s">
        <v>716</v>
      </c>
      <c r="F250" s="88"/>
      <c r="G250" s="88"/>
      <c r="H250" s="88"/>
      <c r="I250" s="88"/>
      <c r="J250" s="88"/>
      <c r="K250" s="88"/>
      <c r="L250" s="88"/>
      <c r="M250" s="88"/>
      <c r="N250" s="88"/>
      <c r="O250" s="88"/>
      <c r="P250" s="88"/>
      <c r="Q250" s="88"/>
      <c r="R250" s="88"/>
      <c r="S250" s="88"/>
      <c r="T250" s="89"/>
    </row>
    <row r="251" spans="1:20">
      <c r="A251" s="22"/>
      <c r="B251" s="22"/>
      <c r="C251" s="22"/>
      <c r="D251" s="22"/>
      <c r="E251" s="10" t="s">
        <v>5</v>
      </c>
      <c r="F251" s="15" t="s">
        <v>6</v>
      </c>
      <c r="G251" s="15" t="s">
        <v>7</v>
      </c>
      <c r="H251" s="15" t="s">
        <v>6</v>
      </c>
      <c r="I251" s="15" t="s">
        <v>8</v>
      </c>
      <c r="J251" s="15" t="s">
        <v>6</v>
      </c>
      <c r="K251" s="15" t="s">
        <v>9</v>
      </c>
      <c r="L251" s="15" t="s">
        <v>6</v>
      </c>
      <c r="M251" s="15" t="s">
        <v>10</v>
      </c>
      <c r="N251" s="15" t="s">
        <v>6</v>
      </c>
      <c r="O251" s="15" t="s">
        <v>11</v>
      </c>
      <c r="P251" s="15" t="s">
        <v>6</v>
      </c>
      <c r="Q251" s="15" t="s">
        <v>12</v>
      </c>
      <c r="R251" s="15" t="s">
        <v>6</v>
      </c>
      <c r="S251" s="15" t="s">
        <v>13</v>
      </c>
      <c r="T251" s="16" t="s">
        <v>6</v>
      </c>
    </row>
    <row r="252" spans="1:20" ht="243" customHeight="1">
      <c r="A252" s="23" t="s">
        <v>14</v>
      </c>
      <c r="B252" s="24">
        <v>3</v>
      </c>
      <c r="C252" s="24">
        <v>13</v>
      </c>
      <c r="D252" s="25">
        <v>12</v>
      </c>
      <c r="E252" s="18" t="s">
        <v>727</v>
      </c>
      <c r="F252" s="26" t="s">
        <v>334</v>
      </c>
      <c r="G252" s="18" t="s">
        <v>728</v>
      </c>
      <c r="H252" s="26"/>
      <c r="I252" s="18" t="s">
        <v>729</v>
      </c>
      <c r="J252" s="36" t="s">
        <v>730</v>
      </c>
      <c r="K252" s="18" t="s">
        <v>731</v>
      </c>
      <c r="L252" s="26" t="s">
        <v>334</v>
      </c>
      <c r="M252" s="18" t="s">
        <v>732</v>
      </c>
      <c r="N252" s="36" t="s">
        <v>733</v>
      </c>
      <c r="O252" s="18" t="s">
        <v>734</v>
      </c>
      <c r="P252" s="26" t="s">
        <v>334</v>
      </c>
      <c r="Q252" s="18" t="s">
        <v>735</v>
      </c>
      <c r="R252" s="26" t="s">
        <v>334</v>
      </c>
      <c r="S252" s="18"/>
      <c r="T252" s="16"/>
    </row>
    <row r="253" spans="1:20">
      <c r="A253" s="22"/>
      <c r="B253" s="22"/>
      <c r="C253" s="22"/>
      <c r="D253" s="22"/>
      <c r="E253" s="87" t="s">
        <v>716</v>
      </c>
      <c r="F253" s="88"/>
      <c r="G253" s="88"/>
      <c r="H253" s="88"/>
      <c r="I253" s="88"/>
      <c r="J253" s="88"/>
      <c r="K253" s="88"/>
      <c r="L253" s="88"/>
      <c r="M253" s="88"/>
      <c r="N253" s="88"/>
      <c r="O253" s="88"/>
      <c r="P253" s="88"/>
      <c r="Q253" s="88"/>
      <c r="R253" s="88"/>
      <c r="S253" s="88"/>
      <c r="T253" s="89"/>
    </row>
    <row r="254" spans="1:20">
      <c r="A254" s="22"/>
      <c r="B254" s="22"/>
      <c r="C254" s="22"/>
      <c r="D254" s="22"/>
      <c r="E254" s="10" t="s">
        <v>5</v>
      </c>
      <c r="F254" s="15" t="s">
        <v>6</v>
      </c>
      <c r="G254" s="15" t="s">
        <v>7</v>
      </c>
      <c r="H254" s="15" t="s">
        <v>6</v>
      </c>
      <c r="I254" s="15" t="s">
        <v>8</v>
      </c>
      <c r="J254" s="15" t="s">
        <v>6</v>
      </c>
      <c r="K254" s="15" t="s">
        <v>9</v>
      </c>
      <c r="L254" s="15" t="s">
        <v>6</v>
      </c>
      <c r="M254" s="15" t="s">
        <v>10</v>
      </c>
      <c r="N254" s="15" t="s">
        <v>6</v>
      </c>
      <c r="O254" s="15" t="s">
        <v>11</v>
      </c>
      <c r="P254" s="15" t="s">
        <v>6</v>
      </c>
      <c r="Q254" s="15" t="s">
        <v>12</v>
      </c>
      <c r="R254" s="15" t="s">
        <v>6</v>
      </c>
      <c r="S254" s="15" t="s">
        <v>13</v>
      </c>
      <c r="T254" s="16" t="s">
        <v>6</v>
      </c>
    </row>
    <row r="255" spans="1:20" ht="240.75" customHeight="1">
      <c r="A255" s="23" t="s">
        <v>14</v>
      </c>
      <c r="B255" s="24">
        <v>3</v>
      </c>
      <c r="C255" s="24">
        <v>13</v>
      </c>
      <c r="D255" s="25">
        <v>14</v>
      </c>
      <c r="E255" s="18" t="s">
        <v>736</v>
      </c>
      <c r="F255" s="26" t="s">
        <v>334</v>
      </c>
      <c r="G255" s="18" t="s">
        <v>737</v>
      </c>
      <c r="H255" s="26"/>
      <c r="I255" s="18" t="s">
        <v>738</v>
      </c>
      <c r="J255" s="36" t="s">
        <v>739</v>
      </c>
      <c r="K255" s="18" t="s">
        <v>740</v>
      </c>
      <c r="L255" s="26" t="s">
        <v>334</v>
      </c>
      <c r="M255" s="18" t="s">
        <v>741</v>
      </c>
      <c r="N255" s="36" t="s">
        <v>742</v>
      </c>
      <c r="O255" s="18" t="s">
        <v>743</v>
      </c>
      <c r="P255" s="36" t="s">
        <v>744</v>
      </c>
      <c r="Q255" s="18" t="s">
        <v>745</v>
      </c>
      <c r="R255" s="26" t="s">
        <v>334</v>
      </c>
      <c r="S255" s="18"/>
      <c r="T255" s="16"/>
    </row>
    <row r="256" spans="1:20">
      <c r="A256" s="22"/>
      <c r="B256" s="22"/>
      <c r="C256" s="22"/>
      <c r="D256" s="22"/>
      <c r="E256" s="87" t="s">
        <v>716</v>
      </c>
      <c r="F256" s="88"/>
      <c r="G256" s="88"/>
      <c r="H256" s="88"/>
      <c r="I256" s="88"/>
      <c r="J256" s="88"/>
      <c r="K256" s="88"/>
      <c r="L256" s="88"/>
      <c r="M256" s="88"/>
      <c r="N256" s="88"/>
      <c r="O256" s="88"/>
      <c r="P256" s="88"/>
      <c r="Q256" s="88"/>
      <c r="R256" s="88"/>
      <c r="S256" s="88"/>
      <c r="T256" s="89"/>
    </row>
    <row r="257" spans="1:20">
      <c r="A257" s="22"/>
      <c r="B257" s="22"/>
      <c r="C257" s="22"/>
      <c r="D257" s="22"/>
      <c r="E257" s="10" t="s">
        <v>5</v>
      </c>
      <c r="F257" s="15" t="s">
        <v>6</v>
      </c>
      <c r="G257" s="15" t="s">
        <v>7</v>
      </c>
      <c r="H257" s="15" t="s">
        <v>6</v>
      </c>
      <c r="I257" s="15" t="s">
        <v>8</v>
      </c>
      <c r="J257" s="15" t="s">
        <v>6</v>
      </c>
      <c r="K257" s="15" t="s">
        <v>9</v>
      </c>
      <c r="L257" s="15" t="s">
        <v>6</v>
      </c>
      <c r="M257" s="15" t="s">
        <v>10</v>
      </c>
      <c r="N257" s="15" t="s">
        <v>6</v>
      </c>
      <c r="O257" s="15" t="s">
        <v>11</v>
      </c>
      <c r="P257" s="15" t="s">
        <v>6</v>
      </c>
      <c r="Q257" s="15" t="s">
        <v>12</v>
      </c>
      <c r="R257" s="15" t="s">
        <v>6</v>
      </c>
      <c r="S257" s="15" t="s">
        <v>13</v>
      </c>
      <c r="T257" s="16" t="s">
        <v>6</v>
      </c>
    </row>
    <row r="258" spans="1:20" ht="273.75" customHeight="1">
      <c r="A258" s="23" t="s">
        <v>14</v>
      </c>
      <c r="B258" s="24">
        <v>3</v>
      </c>
      <c r="C258" s="24">
        <v>13</v>
      </c>
      <c r="D258" s="25">
        <v>19</v>
      </c>
      <c r="E258" s="18" t="s">
        <v>746</v>
      </c>
      <c r="F258" s="26" t="s">
        <v>334</v>
      </c>
      <c r="G258" s="18" t="s">
        <v>747</v>
      </c>
      <c r="H258" s="26"/>
      <c r="I258" s="18" t="s">
        <v>748</v>
      </c>
      <c r="J258" s="36" t="s">
        <v>749</v>
      </c>
      <c r="K258" s="18" t="s">
        <v>750</v>
      </c>
      <c r="L258" s="26" t="s">
        <v>334</v>
      </c>
      <c r="M258" s="18" t="s">
        <v>751</v>
      </c>
      <c r="N258" s="36" t="s">
        <v>752</v>
      </c>
      <c r="O258" s="18" t="s">
        <v>753</v>
      </c>
      <c r="P258" s="26" t="s">
        <v>334</v>
      </c>
      <c r="Q258" s="18" t="s">
        <v>754</v>
      </c>
      <c r="R258" s="26" t="s">
        <v>334</v>
      </c>
      <c r="S258" s="18"/>
      <c r="T258" s="16"/>
    </row>
    <row r="259" spans="1:20">
      <c r="A259" s="22"/>
      <c r="B259" s="22"/>
      <c r="C259" s="22"/>
      <c r="D259" s="22"/>
      <c r="E259" s="87" t="s">
        <v>716</v>
      </c>
      <c r="F259" s="88"/>
      <c r="G259" s="88"/>
      <c r="H259" s="88"/>
      <c r="I259" s="88"/>
      <c r="J259" s="88"/>
      <c r="K259" s="88"/>
      <c r="L259" s="88"/>
      <c r="M259" s="88"/>
      <c r="N259" s="88"/>
      <c r="O259" s="88"/>
      <c r="P259" s="88"/>
      <c r="Q259" s="88"/>
      <c r="R259" s="88"/>
      <c r="S259" s="88"/>
      <c r="T259" s="89"/>
    </row>
    <row r="260" spans="1:20">
      <c r="A260" s="22"/>
      <c r="B260" s="22"/>
      <c r="C260" s="22"/>
      <c r="D260" s="22"/>
      <c r="E260" s="10" t="s">
        <v>5</v>
      </c>
      <c r="F260" s="15" t="s">
        <v>6</v>
      </c>
      <c r="G260" s="15" t="s">
        <v>7</v>
      </c>
      <c r="H260" s="15" t="s">
        <v>6</v>
      </c>
      <c r="I260" s="15" t="s">
        <v>8</v>
      </c>
      <c r="J260" s="15" t="s">
        <v>6</v>
      </c>
      <c r="K260" s="15" t="s">
        <v>9</v>
      </c>
      <c r="L260" s="15" t="s">
        <v>6</v>
      </c>
      <c r="M260" s="15" t="s">
        <v>10</v>
      </c>
      <c r="N260" s="15" t="s">
        <v>6</v>
      </c>
      <c r="O260" s="15" t="s">
        <v>11</v>
      </c>
      <c r="P260" s="15" t="s">
        <v>6</v>
      </c>
      <c r="Q260" s="15" t="s">
        <v>12</v>
      </c>
      <c r="R260" s="15" t="s">
        <v>6</v>
      </c>
      <c r="S260" s="15" t="s">
        <v>13</v>
      </c>
      <c r="T260" s="16" t="s">
        <v>6</v>
      </c>
    </row>
    <row r="261" spans="1:20" ht="209.25" customHeight="1">
      <c r="A261" s="23" t="s">
        <v>14</v>
      </c>
      <c r="B261" s="24">
        <v>3</v>
      </c>
      <c r="C261" s="24">
        <v>13</v>
      </c>
      <c r="D261" s="25">
        <v>21</v>
      </c>
      <c r="E261" s="18" t="s">
        <v>755</v>
      </c>
      <c r="F261" s="26" t="s">
        <v>334</v>
      </c>
      <c r="G261" s="18" t="s">
        <v>756</v>
      </c>
      <c r="H261" s="26"/>
      <c r="I261" s="18" t="s">
        <v>757</v>
      </c>
      <c r="J261" s="36" t="s">
        <v>758</v>
      </c>
      <c r="K261" s="18" t="s">
        <v>759</v>
      </c>
      <c r="L261" s="26" t="s">
        <v>334</v>
      </c>
      <c r="M261" s="18" t="s">
        <v>760</v>
      </c>
      <c r="N261" s="36" t="s">
        <v>761</v>
      </c>
      <c r="O261" s="18" t="s">
        <v>762</v>
      </c>
      <c r="P261" s="36" t="s">
        <v>763</v>
      </c>
      <c r="Q261" s="18" t="s">
        <v>764</v>
      </c>
      <c r="R261" s="26" t="s">
        <v>334</v>
      </c>
      <c r="S261" s="18"/>
      <c r="T261" s="16"/>
    </row>
    <row r="262" spans="1:20">
      <c r="A262" s="22"/>
      <c r="B262" s="22"/>
      <c r="C262" s="22"/>
      <c r="D262" s="22"/>
      <c r="E262" s="87" t="s">
        <v>716</v>
      </c>
      <c r="F262" s="88"/>
      <c r="G262" s="88"/>
      <c r="H262" s="88"/>
      <c r="I262" s="88"/>
      <c r="J262" s="88"/>
      <c r="K262" s="88"/>
      <c r="L262" s="88"/>
      <c r="M262" s="88"/>
      <c r="N262" s="88"/>
      <c r="O262" s="88"/>
      <c r="P262" s="88"/>
      <c r="Q262" s="88"/>
      <c r="R262" s="88"/>
      <c r="S262" s="88"/>
      <c r="T262" s="89"/>
    </row>
    <row r="263" spans="1:20">
      <c r="A263" s="22"/>
      <c r="B263" s="22"/>
      <c r="C263" s="22"/>
      <c r="D263" s="22"/>
      <c r="E263" s="10" t="s">
        <v>5</v>
      </c>
      <c r="F263" s="15" t="s">
        <v>6</v>
      </c>
      <c r="G263" s="15" t="s">
        <v>7</v>
      </c>
      <c r="H263" s="15" t="s">
        <v>6</v>
      </c>
      <c r="I263" s="15" t="s">
        <v>8</v>
      </c>
      <c r="J263" s="15" t="s">
        <v>6</v>
      </c>
      <c r="K263" s="15" t="s">
        <v>9</v>
      </c>
      <c r="L263" s="15" t="s">
        <v>6</v>
      </c>
      <c r="M263" s="15" t="s">
        <v>10</v>
      </c>
      <c r="N263" s="15" t="s">
        <v>6</v>
      </c>
      <c r="O263" s="15" t="s">
        <v>11</v>
      </c>
      <c r="P263" s="15" t="s">
        <v>6</v>
      </c>
      <c r="Q263" s="15" t="s">
        <v>12</v>
      </c>
      <c r="R263" s="15" t="s">
        <v>6</v>
      </c>
      <c r="S263" s="15" t="s">
        <v>13</v>
      </c>
      <c r="T263" s="16" t="s">
        <v>6</v>
      </c>
    </row>
    <row r="264" spans="1:20" ht="222" customHeight="1">
      <c r="A264" s="23" t="s">
        <v>14</v>
      </c>
      <c r="B264" s="24">
        <v>3</v>
      </c>
      <c r="C264" s="24">
        <v>13</v>
      </c>
      <c r="D264" s="25">
        <v>25</v>
      </c>
      <c r="E264" s="18" t="s">
        <v>765</v>
      </c>
      <c r="F264" s="26" t="s">
        <v>334</v>
      </c>
      <c r="G264" s="18" t="s">
        <v>766</v>
      </c>
      <c r="H264" s="26" t="s">
        <v>334</v>
      </c>
      <c r="I264" s="18" t="s">
        <v>767</v>
      </c>
      <c r="J264" s="36" t="s">
        <v>758</v>
      </c>
      <c r="K264" s="18" t="s">
        <v>768</v>
      </c>
      <c r="L264" s="26" t="s">
        <v>334</v>
      </c>
      <c r="M264" s="18" t="s">
        <v>769</v>
      </c>
      <c r="N264" s="36" t="s">
        <v>770</v>
      </c>
      <c r="O264" s="18" t="s">
        <v>771</v>
      </c>
      <c r="P264" s="26" t="s">
        <v>334</v>
      </c>
      <c r="Q264" s="18" t="s">
        <v>772</v>
      </c>
      <c r="R264" s="26" t="s">
        <v>334</v>
      </c>
      <c r="S264" s="18"/>
      <c r="T264" s="16"/>
    </row>
    <row r="265" spans="1:20">
      <c r="A265" s="22"/>
      <c r="B265" s="22"/>
      <c r="C265" s="22"/>
      <c r="D265" s="22"/>
      <c r="E265" s="87" t="s">
        <v>716</v>
      </c>
      <c r="F265" s="88"/>
      <c r="G265" s="88"/>
      <c r="H265" s="88"/>
      <c r="I265" s="88"/>
      <c r="J265" s="88"/>
      <c r="K265" s="88"/>
      <c r="L265" s="88"/>
      <c r="M265" s="88"/>
      <c r="N265" s="88"/>
      <c r="O265" s="88"/>
      <c r="P265" s="88"/>
      <c r="Q265" s="88"/>
      <c r="R265" s="88"/>
      <c r="S265" s="88"/>
      <c r="T265" s="89"/>
    </row>
    <row r="266" spans="1:20">
      <c r="A266" s="22"/>
      <c r="B266" s="22"/>
      <c r="C266" s="22"/>
      <c r="D266" s="22"/>
      <c r="E266" s="10" t="s">
        <v>5</v>
      </c>
      <c r="F266" s="15" t="s">
        <v>6</v>
      </c>
      <c r="G266" s="15" t="s">
        <v>7</v>
      </c>
      <c r="H266" s="15" t="s">
        <v>6</v>
      </c>
      <c r="I266" s="15" t="s">
        <v>8</v>
      </c>
      <c r="J266" s="15" t="s">
        <v>6</v>
      </c>
      <c r="K266" s="15" t="s">
        <v>9</v>
      </c>
      <c r="L266" s="15" t="s">
        <v>6</v>
      </c>
      <c r="M266" s="15" t="s">
        <v>10</v>
      </c>
      <c r="N266" s="15" t="s">
        <v>6</v>
      </c>
      <c r="O266" s="15" t="s">
        <v>11</v>
      </c>
      <c r="P266" s="15" t="s">
        <v>6</v>
      </c>
      <c r="Q266" s="15" t="s">
        <v>12</v>
      </c>
      <c r="R266" s="15" t="s">
        <v>6</v>
      </c>
      <c r="S266" s="15" t="s">
        <v>13</v>
      </c>
      <c r="T266" s="16" t="s">
        <v>6</v>
      </c>
    </row>
    <row r="267" spans="1:20" ht="174" customHeight="1">
      <c r="A267" s="23" t="s">
        <v>14</v>
      </c>
      <c r="B267" s="24">
        <v>3</v>
      </c>
      <c r="C267" s="24">
        <v>13</v>
      </c>
      <c r="D267" s="25">
        <v>29</v>
      </c>
      <c r="E267" s="18" t="s">
        <v>773</v>
      </c>
      <c r="F267" s="34" t="s">
        <v>774</v>
      </c>
      <c r="G267" s="18" t="s">
        <v>775</v>
      </c>
      <c r="H267" s="34" t="s">
        <v>774</v>
      </c>
      <c r="I267" s="18" t="s">
        <v>776</v>
      </c>
      <c r="J267" s="36" t="s">
        <v>777</v>
      </c>
      <c r="K267" s="18" t="s">
        <v>778</v>
      </c>
      <c r="L267" s="34" t="s">
        <v>779</v>
      </c>
      <c r="M267" s="18" t="s">
        <v>780</v>
      </c>
      <c r="N267" s="34" t="s">
        <v>781</v>
      </c>
      <c r="O267" s="18" t="s">
        <v>782</v>
      </c>
      <c r="P267" s="34" t="s">
        <v>783</v>
      </c>
      <c r="Q267" s="18" t="s">
        <v>784</v>
      </c>
      <c r="R267" s="36" t="s">
        <v>785</v>
      </c>
      <c r="S267" s="18"/>
      <c r="T267" s="16"/>
    </row>
    <row r="268" spans="1:20">
      <c r="A268" s="22"/>
      <c r="B268" s="22"/>
      <c r="C268" s="22"/>
      <c r="D268" s="22"/>
      <c r="E268" s="87" t="s">
        <v>716</v>
      </c>
      <c r="F268" s="88"/>
      <c r="G268" s="88"/>
      <c r="H268" s="88"/>
      <c r="I268" s="88"/>
      <c r="J268" s="88"/>
      <c r="K268" s="88"/>
      <c r="L268" s="88"/>
      <c r="M268" s="88"/>
      <c r="N268" s="88"/>
      <c r="O268" s="88"/>
      <c r="P268" s="88"/>
      <c r="Q268" s="88"/>
      <c r="R268" s="88"/>
      <c r="S268" s="88"/>
      <c r="T268" s="89"/>
    </row>
    <row r="269" spans="1:20">
      <c r="A269" s="22"/>
      <c r="B269" s="22"/>
      <c r="C269" s="22"/>
      <c r="D269" s="22"/>
      <c r="E269" s="10" t="s">
        <v>5</v>
      </c>
      <c r="F269" s="15" t="s">
        <v>6</v>
      </c>
      <c r="G269" s="15" t="s">
        <v>7</v>
      </c>
      <c r="H269" s="15" t="s">
        <v>6</v>
      </c>
      <c r="I269" s="15" t="s">
        <v>8</v>
      </c>
      <c r="J269" s="15" t="s">
        <v>6</v>
      </c>
      <c r="K269" s="15" t="s">
        <v>9</v>
      </c>
      <c r="L269" s="15" t="s">
        <v>6</v>
      </c>
      <c r="M269" s="15" t="s">
        <v>10</v>
      </c>
      <c r="N269" s="15" t="s">
        <v>6</v>
      </c>
      <c r="O269" s="15" t="s">
        <v>11</v>
      </c>
      <c r="P269" s="15" t="s">
        <v>6</v>
      </c>
      <c r="Q269" s="15" t="s">
        <v>12</v>
      </c>
      <c r="R269" s="15" t="s">
        <v>6</v>
      </c>
      <c r="S269" s="15" t="s">
        <v>13</v>
      </c>
      <c r="T269" s="16" t="s">
        <v>6</v>
      </c>
    </row>
    <row r="270" spans="1:20" ht="188.25" customHeight="1">
      <c r="A270" s="23" t="s">
        <v>14</v>
      </c>
      <c r="B270" s="24">
        <v>3</v>
      </c>
      <c r="C270" s="24">
        <v>13</v>
      </c>
      <c r="D270" s="25">
        <v>30</v>
      </c>
      <c r="E270" s="18" t="s">
        <v>786</v>
      </c>
      <c r="F270" s="34" t="s">
        <v>774</v>
      </c>
      <c r="G270" s="18" t="s">
        <v>787</v>
      </c>
      <c r="H270" s="34" t="s">
        <v>774</v>
      </c>
      <c r="I270" s="18" t="s">
        <v>788</v>
      </c>
      <c r="J270" s="36" t="s">
        <v>777</v>
      </c>
      <c r="K270" s="18" t="s">
        <v>789</v>
      </c>
      <c r="L270" s="41" t="s">
        <v>790</v>
      </c>
      <c r="M270" s="18" t="s">
        <v>791</v>
      </c>
      <c r="N270" s="34" t="s">
        <v>781</v>
      </c>
      <c r="O270" s="18" t="s">
        <v>792</v>
      </c>
      <c r="P270" s="36" t="s">
        <v>793</v>
      </c>
      <c r="Q270" s="18" t="s">
        <v>794</v>
      </c>
      <c r="R270" s="36" t="s">
        <v>785</v>
      </c>
      <c r="S270" s="18"/>
      <c r="T270" s="16"/>
    </row>
  </sheetData>
  <autoFilter ref="A1:D270" xr:uid="{00000000-0001-0000-0000-000000000000}"/>
  <mergeCells count="89">
    <mergeCell ref="E262:T262"/>
    <mergeCell ref="E265:T265"/>
    <mergeCell ref="E268:T268"/>
    <mergeCell ref="E247:T247"/>
    <mergeCell ref="E250:T250"/>
    <mergeCell ref="E253:T253"/>
    <mergeCell ref="E256:T256"/>
    <mergeCell ref="E259:T259"/>
    <mergeCell ref="E232:T232"/>
    <mergeCell ref="E235:T235"/>
    <mergeCell ref="E238:T238"/>
    <mergeCell ref="E241:T241"/>
    <mergeCell ref="E244:T244"/>
    <mergeCell ref="E184:T184"/>
    <mergeCell ref="E164:T164"/>
    <mergeCell ref="E167:T167"/>
    <mergeCell ref="E170:T170"/>
    <mergeCell ref="E173:T173"/>
    <mergeCell ref="E176:T176"/>
    <mergeCell ref="E179:T179"/>
    <mergeCell ref="E182:T182"/>
    <mergeCell ref="E161:T161"/>
    <mergeCell ref="E146:T146"/>
    <mergeCell ref="E149:T149"/>
    <mergeCell ref="E152:T152"/>
    <mergeCell ref="E155:T155"/>
    <mergeCell ref="E158:T158"/>
    <mergeCell ref="E98:T98"/>
    <mergeCell ref="E83:T83"/>
    <mergeCell ref="E86:T86"/>
    <mergeCell ref="E89:T89"/>
    <mergeCell ref="E92:T92"/>
    <mergeCell ref="E95:T95"/>
    <mergeCell ref="E68:T68"/>
    <mergeCell ref="E71:T71"/>
    <mergeCell ref="E74:T74"/>
    <mergeCell ref="E77:T77"/>
    <mergeCell ref="E80:T80"/>
    <mergeCell ref="E47:T47"/>
    <mergeCell ref="E53:T53"/>
    <mergeCell ref="E56:T56"/>
    <mergeCell ref="E62:T62"/>
    <mergeCell ref="E65:T65"/>
    <mergeCell ref="E50:T50"/>
    <mergeCell ref="E59:T59"/>
    <mergeCell ref="E17:T17"/>
    <mergeCell ref="E2:T2"/>
    <mergeCell ref="E5:T5"/>
    <mergeCell ref="E8:T8"/>
    <mergeCell ref="E11:T11"/>
    <mergeCell ref="E14:T14"/>
    <mergeCell ref="E35:T35"/>
    <mergeCell ref="E38:T38"/>
    <mergeCell ref="E41:T41"/>
    <mergeCell ref="E44:T44"/>
    <mergeCell ref="E20:T20"/>
    <mergeCell ref="E26:T26"/>
    <mergeCell ref="E29:T29"/>
    <mergeCell ref="E32:T32"/>
    <mergeCell ref="E101:T101"/>
    <mergeCell ref="E104:T104"/>
    <mergeCell ref="E107:T107"/>
    <mergeCell ref="E110:T110"/>
    <mergeCell ref="E113:T113"/>
    <mergeCell ref="E116:T116"/>
    <mergeCell ref="E119:T119"/>
    <mergeCell ref="E122:T122"/>
    <mergeCell ref="E125:T125"/>
    <mergeCell ref="E128:T128"/>
    <mergeCell ref="E131:T131"/>
    <mergeCell ref="E134:T134"/>
    <mergeCell ref="E137:T137"/>
    <mergeCell ref="E140:T140"/>
    <mergeCell ref="E143:T143"/>
    <mergeCell ref="E202:T202"/>
    <mergeCell ref="E205:T205"/>
    <mergeCell ref="E187:T187"/>
    <mergeCell ref="E190:T190"/>
    <mergeCell ref="E193:T193"/>
    <mergeCell ref="E196:T196"/>
    <mergeCell ref="E199:T199"/>
    <mergeCell ref="E223:T223"/>
    <mergeCell ref="E226:T226"/>
    <mergeCell ref="E229:T229"/>
    <mergeCell ref="E208:T208"/>
    <mergeCell ref="E211:T211"/>
    <mergeCell ref="E214:T214"/>
    <mergeCell ref="E217:T217"/>
    <mergeCell ref="E220:T2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1CC12-7B79-445A-B6C1-04E9FD4931EF}">
  <dimension ref="A1:AQ271"/>
  <sheetViews>
    <sheetView topLeftCell="G1" workbookViewId="0">
      <pane ySplit="1" topLeftCell="E265" activePane="bottomLeft" state="frozen"/>
      <selection pane="bottomLeft" activeCell="O214" sqref="O214"/>
    </sheetView>
  </sheetViews>
  <sheetFormatPr defaultRowHeight="13.9"/>
  <cols>
    <col min="1" max="1" width="11.28515625" bestFit="1" customWidth="1"/>
    <col min="2" max="2" width="10.7109375" bestFit="1" customWidth="1"/>
    <col min="3" max="3" width="5.85546875" bestFit="1" customWidth="1"/>
    <col min="4" max="4" width="6.28515625" bestFit="1" customWidth="1"/>
    <col min="5" max="5" width="24.28515625" customWidth="1"/>
    <col min="6" max="6" width="13.140625" customWidth="1"/>
    <col min="7" max="7" width="27.28515625" customWidth="1"/>
    <col min="8" max="8" width="21.5703125" customWidth="1"/>
    <col min="9" max="9" width="23.140625" customWidth="1"/>
    <col min="10" max="10" width="15.7109375" customWidth="1"/>
    <col min="11" max="11" width="35" customWidth="1"/>
    <col min="12" max="12" width="22.42578125" customWidth="1"/>
    <col min="13" max="13" width="42.42578125" customWidth="1"/>
    <col min="14" max="14" width="16.7109375" customWidth="1"/>
    <col min="15" max="15" width="28.28515625" customWidth="1"/>
    <col min="16" max="16" width="21.28515625" customWidth="1"/>
    <col min="17" max="17" width="23.85546875" customWidth="1"/>
    <col min="18" max="18" width="18" customWidth="1"/>
    <col min="20" max="20" width="9.28515625" bestFit="1" customWidth="1"/>
  </cols>
  <sheetData>
    <row r="1" spans="1:20">
      <c r="A1" s="1" t="s">
        <v>0</v>
      </c>
      <c r="B1" s="2" t="s">
        <v>1</v>
      </c>
      <c r="C1" s="3" t="s">
        <v>2</v>
      </c>
      <c r="D1" s="4" t="s">
        <v>3</v>
      </c>
      <c r="E1" s="5"/>
      <c r="F1" s="2"/>
      <c r="G1" s="2"/>
      <c r="H1" s="2"/>
      <c r="I1" s="2"/>
      <c r="J1" s="2"/>
      <c r="K1" s="2"/>
      <c r="L1" s="2"/>
      <c r="M1" s="2"/>
      <c r="N1" s="2"/>
      <c r="O1" s="2"/>
      <c r="P1" s="2"/>
      <c r="Q1" s="2"/>
      <c r="R1" s="2"/>
      <c r="S1" s="2"/>
      <c r="T1" s="4"/>
    </row>
    <row r="2" spans="1:20" s="45" customFormat="1">
      <c r="A2" s="42"/>
      <c r="B2" s="43"/>
      <c r="C2" s="43"/>
      <c r="D2" s="44"/>
      <c r="E2" s="96" t="s">
        <v>4</v>
      </c>
      <c r="F2" s="96"/>
      <c r="G2" s="96"/>
      <c r="H2" s="96"/>
      <c r="I2" s="96"/>
      <c r="J2" s="96"/>
      <c r="K2" s="96"/>
      <c r="L2" s="96"/>
      <c r="M2" s="96"/>
      <c r="N2" s="96"/>
      <c r="O2" s="96"/>
      <c r="P2" s="96"/>
      <c r="Q2" s="96"/>
      <c r="R2" s="96"/>
      <c r="S2" s="96"/>
      <c r="T2" s="97"/>
    </row>
    <row r="3" spans="1:20" s="45" customFormat="1">
      <c r="A3" s="46"/>
      <c r="B3" s="47"/>
      <c r="C3" s="43"/>
      <c r="D3" s="48"/>
      <c r="E3" s="49" t="s">
        <v>5</v>
      </c>
      <c r="F3" s="30" t="s">
        <v>6</v>
      </c>
      <c r="G3" s="30" t="s">
        <v>7</v>
      </c>
      <c r="H3" s="30" t="s">
        <v>6</v>
      </c>
      <c r="I3" s="30" t="s">
        <v>8</v>
      </c>
      <c r="J3" s="30" t="s">
        <v>6</v>
      </c>
      <c r="K3" s="30" t="s">
        <v>9</v>
      </c>
      <c r="L3" s="30" t="s">
        <v>6</v>
      </c>
      <c r="M3" s="30" t="s">
        <v>10</v>
      </c>
      <c r="N3" s="30" t="s">
        <v>6</v>
      </c>
      <c r="O3" s="30" t="s">
        <v>11</v>
      </c>
      <c r="P3" s="30" t="s">
        <v>6</v>
      </c>
      <c r="Q3" s="30" t="s">
        <v>12</v>
      </c>
      <c r="R3" s="30" t="s">
        <v>6</v>
      </c>
      <c r="S3" s="30" t="s">
        <v>13</v>
      </c>
      <c r="T3" s="50" t="s">
        <v>6</v>
      </c>
    </row>
    <row r="4" spans="1:20" s="45" customFormat="1" ht="204" customHeight="1">
      <c r="A4" s="51" t="s">
        <v>795</v>
      </c>
      <c r="B4" s="29">
        <v>3</v>
      </c>
      <c r="C4" s="52">
        <v>1</v>
      </c>
      <c r="D4" s="53">
        <v>1</v>
      </c>
      <c r="E4" s="54" t="s">
        <v>796</v>
      </c>
      <c r="F4" s="26" t="s">
        <v>334</v>
      </c>
      <c r="G4" s="29" t="s">
        <v>797</v>
      </c>
      <c r="H4" s="36" t="s">
        <v>798</v>
      </c>
      <c r="I4" s="29" t="s">
        <v>799</v>
      </c>
      <c r="J4" s="27" t="s">
        <v>19</v>
      </c>
      <c r="K4" s="29" t="s">
        <v>800</v>
      </c>
      <c r="L4" s="27" t="s">
        <v>19</v>
      </c>
      <c r="M4" s="29" t="s">
        <v>801</v>
      </c>
      <c r="N4" s="36" t="s">
        <v>802</v>
      </c>
      <c r="O4" s="29" t="s">
        <v>803</v>
      </c>
      <c r="P4" s="27" t="s">
        <v>19</v>
      </c>
      <c r="Q4" s="29" t="s">
        <v>804</v>
      </c>
      <c r="R4" s="34" t="s">
        <v>805</v>
      </c>
      <c r="S4" s="29" t="s">
        <v>191</v>
      </c>
      <c r="T4" s="50"/>
    </row>
    <row r="5" spans="1:20" s="45" customFormat="1">
      <c r="A5" s="55"/>
      <c r="B5" s="55"/>
      <c r="C5" s="55"/>
      <c r="D5" s="55"/>
      <c r="E5" s="98" t="s">
        <v>4</v>
      </c>
      <c r="F5" s="96"/>
      <c r="G5" s="96"/>
      <c r="H5" s="96"/>
      <c r="I5" s="96"/>
      <c r="J5" s="96"/>
      <c r="K5" s="96"/>
      <c r="L5" s="96"/>
      <c r="M5" s="96"/>
      <c r="N5" s="96"/>
      <c r="O5" s="96"/>
      <c r="P5" s="96"/>
      <c r="Q5" s="96"/>
      <c r="R5" s="96"/>
      <c r="S5" s="96"/>
      <c r="T5" s="97"/>
    </row>
    <row r="6" spans="1:20" s="45" customFormat="1">
      <c r="A6" s="55"/>
      <c r="B6" s="55"/>
      <c r="C6" s="55"/>
      <c r="D6" s="55"/>
      <c r="E6" s="46" t="s">
        <v>5</v>
      </c>
      <c r="F6" s="30" t="s">
        <v>6</v>
      </c>
      <c r="G6" s="30" t="s">
        <v>7</v>
      </c>
      <c r="H6" s="30" t="s">
        <v>6</v>
      </c>
      <c r="I6" s="30" t="s">
        <v>8</v>
      </c>
      <c r="J6" s="30" t="s">
        <v>6</v>
      </c>
      <c r="K6" s="30" t="s">
        <v>9</v>
      </c>
      <c r="L6" s="30" t="s">
        <v>6</v>
      </c>
      <c r="M6" s="30" t="s">
        <v>10</v>
      </c>
      <c r="N6" s="30" t="s">
        <v>6</v>
      </c>
      <c r="O6" s="30" t="s">
        <v>11</v>
      </c>
      <c r="P6" s="30" t="s">
        <v>6</v>
      </c>
      <c r="Q6" s="30" t="s">
        <v>12</v>
      </c>
      <c r="R6" s="30" t="s">
        <v>6</v>
      </c>
      <c r="S6" s="30" t="s">
        <v>13</v>
      </c>
      <c r="T6" s="50" t="s">
        <v>6</v>
      </c>
    </row>
    <row r="7" spans="1:20" s="45" customFormat="1" ht="229.5" customHeight="1">
      <c r="A7" s="51" t="s">
        <v>795</v>
      </c>
      <c r="B7" s="56">
        <v>3</v>
      </c>
      <c r="C7" s="56">
        <v>1</v>
      </c>
      <c r="D7" s="57">
        <v>5</v>
      </c>
      <c r="E7" s="51" t="s">
        <v>806</v>
      </c>
      <c r="F7" s="26" t="s">
        <v>334</v>
      </c>
      <c r="G7" s="29" t="s">
        <v>807</v>
      </c>
      <c r="H7" s="26" t="s">
        <v>334</v>
      </c>
      <c r="I7" s="29" t="s">
        <v>799</v>
      </c>
      <c r="J7" s="26" t="s">
        <v>334</v>
      </c>
      <c r="K7" s="29" t="s">
        <v>808</v>
      </c>
      <c r="L7" s="26" t="s">
        <v>334</v>
      </c>
      <c r="M7" s="29" t="s">
        <v>809</v>
      </c>
      <c r="N7" s="26" t="s">
        <v>334</v>
      </c>
      <c r="O7" s="29" t="s">
        <v>810</v>
      </c>
      <c r="P7" s="26" t="s">
        <v>334</v>
      </c>
      <c r="Q7" s="29" t="s">
        <v>811</v>
      </c>
      <c r="R7" s="26" t="s">
        <v>334</v>
      </c>
      <c r="S7" s="29"/>
      <c r="T7" s="50"/>
    </row>
    <row r="8" spans="1:20" s="45" customFormat="1">
      <c r="A8" s="55"/>
      <c r="B8" s="55"/>
      <c r="C8" s="55"/>
      <c r="D8" s="55"/>
      <c r="E8" s="93" t="s">
        <v>4</v>
      </c>
      <c r="F8" s="94"/>
      <c r="G8" s="94"/>
      <c r="H8" s="94"/>
      <c r="I8" s="94"/>
      <c r="J8" s="94"/>
      <c r="K8" s="94"/>
      <c r="L8" s="94"/>
      <c r="M8" s="94"/>
      <c r="N8" s="94"/>
      <c r="O8" s="94"/>
      <c r="P8" s="94"/>
      <c r="Q8" s="94"/>
      <c r="R8" s="94"/>
      <c r="S8" s="94"/>
      <c r="T8" s="95"/>
    </row>
    <row r="9" spans="1:20" s="45" customFormat="1">
      <c r="A9" s="55"/>
      <c r="B9" s="55"/>
      <c r="C9" s="55"/>
      <c r="D9" s="55"/>
      <c r="E9" s="46" t="s">
        <v>5</v>
      </c>
      <c r="F9" s="30" t="s">
        <v>6</v>
      </c>
      <c r="G9" s="30" t="s">
        <v>7</v>
      </c>
      <c r="H9" s="30" t="s">
        <v>6</v>
      </c>
      <c r="I9" s="30" t="s">
        <v>8</v>
      </c>
      <c r="J9" s="30" t="s">
        <v>6</v>
      </c>
      <c r="K9" s="30" t="s">
        <v>9</v>
      </c>
      <c r="L9" s="30" t="s">
        <v>6</v>
      </c>
      <c r="M9" s="30" t="s">
        <v>10</v>
      </c>
      <c r="N9" s="30" t="s">
        <v>6</v>
      </c>
      <c r="O9" s="30" t="s">
        <v>11</v>
      </c>
      <c r="P9" s="30" t="s">
        <v>6</v>
      </c>
      <c r="Q9" s="30" t="s">
        <v>12</v>
      </c>
      <c r="R9" s="30" t="s">
        <v>6</v>
      </c>
      <c r="S9" s="30" t="s">
        <v>13</v>
      </c>
      <c r="T9" s="50" t="s">
        <v>6</v>
      </c>
    </row>
    <row r="10" spans="1:20" s="45" customFormat="1" ht="219.75" customHeight="1">
      <c r="A10" s="51" t="s">
        <v>795</v>
      </c>
      <c r="B10" s="56">
        <v>3</v>
      </c>
      <c r="C10" s="56">
        <v>1</v>
      </c>
      <c r="D10" s="57">
        <v>7</v>
      </c>
      <c r="E10" s="51" t="s">
        <v>812</v>
      </c>
      <c r="F10" s="26" t="s">
        <v>334</v>
      </c>
      <c r="G10" s="29" t="s">
        <v>813</v>
      </c>
      <c r="H10" s="61" t="s">
        <v>814</v>
      </c>
      <c r="I10" s="29" t="s">
        <v>799</v>
      </c>
      <c r="J10" s="26" t="s">
        <v>334</v>
      </c>
      <c r="K10" s="29" t="s">
        <v>815</v>
      </c>
      <c r="L10" s="26" t="s">
        <v>334</v>
      </c>
      <c r="M10" s="29" t="s">
        <v>816</v>
      </c>
      <c r="N10" s="26" t="s">
        <v>334</v>
      </c>
      <c r="O10" s="29" t="s">
        <v>817</v>
      </c>
      <c r="P10" s="26" t="s">
        <v>334</v>
      </c>
      <c r="Q10" s="29" t="s">
        <v>818</v>
      </c>
      <c r="R10" s="26" t="s">
        <v>334</v>
      </c>
      <c r="S10" s="29"/>
      <c r="T10" s="50"/>
    </row>
    <row r="11" spans="1:20" s="45" customFormat="1">
      <c r="A11" s="55"/>
      <c r="B11" s="55"/>
      <c r="C11" s="55"/>
      <c r="D11" s="55"/>
      <c r="E11" s="93" t="s">
        <v>4</v>
      </c>
      <c r="F11" s="94"/>
      <c r="G11" s="94"/>
      <c r="H11" s="94"/>
      <c r="I11" s="94"/>
      <c r="J11" s="94"/>
      <c r="K11" s="94"/>
      <c r="L11" s="94"/>
      <c r="M11" s="94"/>
      <c r="N11" s="94"/>
      <c r="O11" s="94"/>
      <c r="P11" s="94"/>
      <c r="Q11" s="94"/>
      <c r="R11" s="94"/>
      <c r="S11" s="94"/>
      <c r="T11" s="95"/>
    </row>
    <row r="12" spans="1:20" s="45" customFormat="1">
      <c r="A12" s="55"/>
      <c r="B12" s="55"/>
      <c r="C12" s="55"/>
      <c r="D12" s="55"/>
      <c r="E12" s="46" t="s">
        <v>5</v>
      </c>
      <c r="F12" s="30" t="s">
        <v>6</v>
      </c>
      <c r="G12" s="30" t="s">
        <v>7</v>
      </c>
      <c r="H12" s="30" t="s">
        <v>6</v>
      </c>
      <c r="I12" s="30" t="s">
        <v>8</v>
      </c>
      <c r="J12" s="30" t="s">
        <v>6</v>
      </c>
      <c r="K12" s="30" t="s">
        <v>9</v>
      </c>
      <c r="L12" s="30" t="s">
        <v>6</v>
      </c>
      <c r="M12" s="30" t="s">
        <v>10</v>
      </c>
      <c r="N12" s="30" t="s">
        <v>6</v>
      </c>
      <c r="O12" s="30" t="s">
        <v>11</v>
      </c>
      <c r="P12" s="30" t="s">
        <v>6</v>
      </c>
      <c r="Q12" s="30" t="s">
        <v>12</v>
      </c>
      <c r="R12" s="30" t="s">
        <v>6</v>
      </c>
      <c r="S12" s="30" t="s">
        <v>13</v>
      </c>
      <c r="T12" s="50" t="s">
        <v>6</v>
      </c>
    </row>
    <row r="13" spans="1:20" s="45" customFormat="1" ht="205.5" customHeight="1">
      <c r="A13" s="51" t="s">
        <v>795</v>
      </c>
      <c r="B13" s="56">
        <v>3</v>
      </c>
      <c r="C13" s="56">
        <v>1</v>
      </c>
      <c r="D13" s="57">
        <v>6</v>
      </c>
      <c r="E13" s="51" t="s">
        <v>819</v>
      </c>
      <c r="F13" s="26" t="s">
        <v>334</v>
      </c>
      <c r="G13" s="29" t="s">
        <v>820</v>
      </c>
      <c r="H13" s="61" t="s">
        <v>821</v>
      </c>
      <c r="I13" s="29" t="s">
        <v>799</v>
      </c>
      <c r="J13" s="26" t="s">
        <v>334</v>
      </c>
      <c r="K13" s="29" t="s">
        <v>822</v>
      </c>
      <c r="L13" s="26" t="s">
        <v>334</v>
      </c>
      <c r="M13" s="29" t="s">
        <v>823</v>
      </c>
      <c r="N13" s="26" t="s">
        <v>334</v>
      </c>
      <c r="O13" s="29" t="s">
        <v>824</v>
      </c>
      <c r="P13" s="26" t="s">
        <v>334</v>
      </c>
      <c r="Q13" s="29" t="s">
        <v>825</v>
      </c>
      <c r="R13" s="26" t="s">
        <v>334</v>
      </c>
      <c r="S13" s="29"/>
      <c r="T13" s="50"/>
    </row>
    <row r="14" spans="1:20" s="45" customFormat="1">
      <c r="A14" s="55"/>
      <c r="B14" s="55"/>
      <c r="C14" s="55"/>
      <c r="D14" s="55"/>
      <c r="E14" s="93" t="s">
        <v>4</v>
      </c>
      <c r="F14" s="94"/>
      <c r="G14" s="94"/>
      <c r="H14" s="94"/>
      <c r="I14" s="94"/>
      <c r="J14" s="94"/>
      <c r="K14" s="94"/>
      <c r="L14" s="94"/>
      <c r="M14" s="94"/>
      <c r="N14" s="94"/>
      <c r="O14" s="94"/>
      <c r="P14" s="94"/>
      <c r="Q14" s="94"/>
      <c r="R14" s="94"/>
      <c r="S14" s="94"/>
      <c r="T14" s="95"/>
    </row>
    <row r="15" spans="1:20" s="45" customFormat="1">
      <c r="A15" s="55"/>
      <c r="B15" s="55"/>
      <c r="C15" s="55"/>
      <c r="D15" s="55"/>
      <c r="E15" s="46" t="s">
        <v>5</v>
      </c>
      <c r="F15" s="30" t="s">
        <v>6</v>
      </c>
      <c r="G15" s="30" t="s">
        <v>7</v>
      </c>
      <c r="H15" s="30" t="s">
        <v>6</v>
      </c>
      <c r="I15" s="30" t="s">
        <v>8</v>
      </c>
      <c r="J15" s="30" t="s">
        <v>6</v>
      </c>
      <c r="K15" s="30" t="s">
        <v>9</v>
      </c>
      <c r="L15" s="30" t="s">
        <v>6</v>
      </c>
      <c r="M15" s="30" t="s">
        <v>10</v>
      </c>
      <c r="N15" s="30" t="s">
        <v>6</v>
      </c>
      <c r="O15" s="30" t="s">
        <v>11</v>
      </c>
      <c r="P15" s="30" t="s">
        <v>6</v>
      </c>
      <c r="Q15" s="30" t="s">
        <v>12</v>
      </c>
      <c r="R15" s="30" t="s">
        <v>6</v>
      </c>
      <c r="S15" s="30" t="s">
        <v>13</v>
      </c>
      <c r="T15" s="50" t="s">
        <v>6</v>
      </c>
    </row>
    <row r="16" spans="1:20" s="45" customFormat="1" ht="198">
      <c r="A16" s="51" t="s">
        <v>795</v>
      </c>
      <c r="B16" s="56">
        <v>3</v>
      </c>
      <c r="C16" s="56">
        <v>1</v>
      </c>
      <c r="D16" s="57">
        <v>8</v>
      </c>
      <c r="E16" s="51" t="s">
        <v>826</v>
      </c>
      <c r="F16" s="26" t="s">
        <v>334</v>
      </c>
      <c r="G16" s="29" t="s">
        <v>827</v>
      </c>
      <c r="H16" s="26" t="s">
        <v>334</v>
      </c>
      <c r="I16" s="29" t="s">
        <v>799</v>
      </c>
      <c r="J16" s="26" t="s">
        <v>334</v>
      </c>
      <c r="K16" s="29" t="s">
        <v>828</v>
      </c>
      <c r="L16" s="26" t="s">
        <v>334</v>
      </c>
      <c r="M16" s="29" t="s">
        <v>829</v>
      </c>
      <c r="N16" s="26" t="s">
        <v>334</v>
      </c>
      <c r="O16" s="29" t="s">
        <v>830</v>
      </c>
      <c r="P16" s="26" t="s">
        <v>334</v>
      </c>
      <c r="Q16" s="29" t="s">
        <v>831</v>
      </c>
      <c r="R16" s="26" t="s">
        <v>334</v>
      </c>
      <c r="S16" s="29"/>
      <c r="T16" s="50"/>
    </row>
    <row r="17" spans="1:20" s="45" customFormat="1">
      <c r="A17" s="55"/>
      <c r="B17" s="55"/>
      <c r="C17" s="55"/>
      <c r="D17" s="55"/>
      <c r="E17" s="93" t="s">
        <v>4</v>
      </c>
      <c r="F17" s="94"/>
      <c r="G17" s="94"/>
      <c r="H17" s="94"/>
      <c r="I17" s="94"/>
      <c r="J17" s="94"/>
      <c r="K17" s="94"/>
      <c r="L17" s="94"/>
      <c r="M17" s="94"/>
      <c r="N17" s="94"/>
      <c r="O17" s="94"/>
      <c r="P17" s="94"/>
      <c r="Q17" s="94"/>
      <c r="R17" s="94"/>
      <c r="S17" s="94"/>
      <c r="T17" s="95"/>
    </row>
    <row r="18" spans="1:20" s="45" customFormat="1">
      <c r="A18" s="55"/>
      <c r="B18" s="55"/>
      <c r="C18" s="55"/>
      <c r="D18" s="55"/>
      <c r="E18" s="46" t="s">
        <v>5</v>
      </c>
      <c r="F18" s="30" t="s">
        <v>6</v>
      </c>
      <c r="G18" s="30" t="s">
        <v>7</v>
      </c>
      <c r="H18" s="30" t="s">
        <v>6</v>
      </c>
      <c r="I18" s="30" t="s">
        <v>8</v>
      </c>
      <c r="J18" s="30" t="s">
        <v>6</v>
      </c>
      <c r="K18" s="30" t="s">
        <v>9</v>
      </c>
      <c r="L18" s="30" t="s">
        <v>6</v>
      </c>
      <c r="M18" s="30" t="s">
        <v>10</v>
      </c>
      <c r="N18" s="30" t="s">
        <v>6</v>
      </c>
      <c r="O18" s="30" t="s">
        <v>11</v>
      </c>
      <c r="P18" s="30" t="s">
        <v>6</v>
      </c>
      <c r="Q18" s="30" t="s">
        <v>12</v>
      </c>
      <c r="R18" s="30" t="s">
        <v>6</v>
      </c>
      <c r="S18" s="30" t="s">
        <v>13</v>
      </c>
      <c r="T18" s="50" t="s">
        <v>6</v>
      </c>
    </row>
    <row r="19" spans="1:20" s="45" customFormat="1" ht="211.15">
      <c r="A19" s="51" t="s">
        <v>795</v>
      </c>
      <c r="B19" s="56">
        <v>3</v>
      </c>
      <c r="C19" s="56">
        <v>1</v>
      </c>
      <c r="D19" s="57">
        <v>9</v>
      </c>
      <c r="E19" s="51" t="s">
        <v>832</v>
      </c>
      <c r="F19" s="26" t="s">
        <v>334</v>
      </c>
      <c r="G19" s="29" t="s">
        <v>833</v>
      </c>
      <c r="H19" s="36" t="s">
        <v>834</v>
      </c>
      <c r="I19" s="29" t="s">
        <v>799</v>
      </c>
      <c r="J19" s="26" t="s">
        <v>334</v>
      </c>
      <c r="K19" s="29" t="s">
        <v>835</v>
      </c>
      <c r="L19" s="26" t="s">
        <v>334</v>
      </c>
      <c r="M19" s="29" t="s">
        <v>836</v>
      </c>
      <c r="N19" s="26" t="s">
        <v>334</v>
      </c>
      <c r="O19" s="29" t="s">
        <v>837</v>
      </c>
      <c r="P19" s="26" t="s">
        <v>334</v>
      </c>
      <c r="Q19" s="29" t="s">
        <v>838</v>
      </c>
      <c r="R19" s="34" t="s">
        <v>839</v>
      </c>
      <c r="S19" s="29"/>
      <c r="T19" s="50"/>
    </row>
    <row r="20" spans="1:20" s="45" customFormat="1">
      <c r="A20" s="55"/>
      <c r="B20" s="55"/>
      <c r="C20" s="55"/>
      <c r="D20" s="55"/>
      <c r="E20" s="93" t="s">
        <v>73</v>
      </c>
      <c r="F20" s="94"/>
      <c r="G20" s="94"/>
      <c r="H20" s="94"/>
      <c r="I20" s="94"/>
      <c r="J20" s="94"/>
      <c r="K20" s="94"/>
      <c r="L20" s="94"/>
      <c r="M20" s="94"/>
      <c r="N20" s="94"/>
      <c r="O20" s="94"/>
      <c r="P20" s="94"/>
      <c r="Q20" s="94"/>
      <c r="R20" s="94"/>
      <c r="S20" s="94"/>
      <c r="T20" s="95"/>
    </row>
    <row r="21" spans="1:20" s="45" customFormat="1">
      <c r="A21" s="55"/>
      <c r="B21" s="55"/>
      <c r="C21" s="55"/>
      <c r="D21" s="55"/>
      <c r="E21" s="46" t="s">
        <v>5</v>
      </c>
      <c r="F21" s="30" t="s">
        <v>6</v>
      </c>
      <c r="G21" s="30" t="s">
        <v>7</v>
      </c>
      <c r="H21" s="30" t="s">
        <v>6</v>
      </c>
      <c r="I21" s="30" t="s">
        <v>8</v>
      </c>
      <c r="J21" s="30" t="s">
        <v>6</v>
      </c>
      <c r="K21" s="30" t="s">
        <v>9</v>
      </c>
      <c r="L21" s="30" t="s">
        <v>6</v>
      </c>
      <c r="M21" s="30" t="s">
        <v>10</v>
      </c>
      <c r="N21" s="30" t="s">
        <v>6</v>
      </c>
      <c r="O21" s="30" t="s">
        <v>11</v>
      </c>
      <c r="P21" s="30" t="s">
        <v>6</v>
      </c>
      <c r="Q21" s="30" t="s">
        <v>12</v>
      </c>
      <c r="R21" s="30" t="s">
        <v>6</v>
      </c>
      <c r="S21" s="30" t="s">
        <v>13</v>
      </c>
      <c r="T21" s="50" t="s">
        <v>6</v>
      </c>
    </row>
    <row r="22" spans="1:20" s="45" customFormat="1" ht="237" customHeight="1">
      <c r="A22" s="51" t="s">
        <v>795</v>
      </c>
      <c r="B22" s="56">
        <v>3</v>
      </c>
      <c r="C22" s="56">
        <v>2</v>
      </c>
      <c r="D22" s="57">
        <v>1</v>
      </c>
      <c r="E22" s="51" t="s">
        <v>840</v>
      </c>
      <c r="F22" s="26" t="s">
        <v>19</v>
      </c>
      <c r="G22" s="29" t="s">
        <v>841</v>
      </c>
      <c r="H22" s="34" t="s">
        <v>842</v>
      </c>
      <c r="I22" s="29" t="s">
        <v>843</v>
      </c>
      <c r="J22" s="26" t="s">
        <v>19</v>
      </c>
      <c r="K22" s="29" t="s">
        <v>844</v>
      </c>
      <c r="L22" s="26" t="s">
        <v>19</v>
      </c>
      <c r="M22" s="29" t="s">
        <v>845</v>
      </c>
      <c r="N22" s="26" t="s">
        <v>19</v>
      </c>
      <c r="O22" s="29" t="s">
        <v>846</v>
      </c>
      <c r="P22" s="26" t="s">
        <v>847</v>
      </c>
      <c r="Q22" s="29" t="s">
        <v>848</v>
      </c>
      <c r="R22" s="41" t="s">
        <v>849</v>
      </c>
      <c r="S22" s="29"/>
      <c r="T22" s="50"/>
    </row>
    <row r="23" spans="1:20" s="45" customFormat="1">
      <c r="A23" s="55"/>
      <c r="B23" s="55"/>
      <c r="C23" s="55"/>
      <c r="D23" s="55"/>
      <c r="E23" s="58" t="s">
        <v>73</v>
      </c>
      <c r="F23" s="59"/>
      <c r="H23" s="59"/>
      <c r="I23" s="59"/>
      <c r="J23" s="59"/>
      <c r="K23" s="59"/>
      <c r="L23" s="59"/>
      <c r="M23" s="59"/>
      <c r="N23" s="59"/>
      <c r="P23" s="59"/>
      <c r="Q23" s="59"/>
      <c r="R23" s="59"/>
      <c r="S23" s="59"/>
      <c r="T23" s="60"/>
    </row>
    <row r="24" spans="1:20" s="45" customFormat="1">
      <c r="A24" s="55"/>
      <c r="B24" s="55"/>
      <c r="C24" s="55"/>
      <c r="D24" s="55"/>
      <c r="E24" s="46" t="s">
        <v>5</v>
      </c>
      <c r="F24" s="30" t="s">
        <v>6</v>
      </c>
      <c r="G24" s="30" t="s">
        <v>7</v>
      </c>
      <c r="H24" s="30" t="s">
        <v>6</v>
      </c>
      <c r="I24" s="30" t="s">
        <v>8</v>
      </c>
      <c r="J24" s="30" t="s">
        <v>6</v>
      </c>
      <c r="K24" s="30" t="s">
        <v>9</v>
      </c>
      <c r="L24" s="30" t="s">
        <v>6</v>
      </c>
      <c r="M24" s="30" t="s">
        <v>10</v>
      </c>
      <c r="N24" s="30" t="s">
        <v>6</v>
      </c>
      <c r="O24" s="30" t="s">
        <v>11</v>
      </c>
      <c r="P24" s="30" t="s">
        <v>6</v>
      </c>
      <c r="Q24" s="30" t="s">
        <v>12</v>
      </c>
      <c r="R24" s="30" t="s">
        <v>6</v>
      </c>
      <c r="S24" s="30" t="s">
        <v>13</v>
      </c>
      <c r="T24" s="50" t="s">
        <v>6</v>
      </c>
    </row>
    <row r="25" spans="1:20" s="45" customFormat="1" ht="198">
      <c r="A25" s="51" t="s">
        <v>795</v>
      </c>
      <c r="B25" s="56">
        <v>3</v>
      </c>
      <c r="C25" s="56">
        <v>2</v>
      </c>
      <c r="D25" s="57">
        <v>10</v>
      </c>
      <c r="E25" s="29" t="s">
        <v>850</v>
      </c>
      <c r="F25" s="26" t="s">
        <v>19</v>
      </c>
      <c r="G25" s="29" t="s">
        <v>851</v>
      </c>
      <c r="H25" s="34" t="s">
        <v>852</v>
      </c>
      <c r="I25" s="29" t="s">
        <v>843</v>
      </c>
      <c r="J25" s="26" t="s">
        <v>19</v>
      </c>
      <c r="K25" s="29" t="s">
        <v>853</v>
      </c>
      <c r="L25" s="26" t="s">
        <v>19</v>
      </c>
      <c r="M25" s="29" t="s">
        <v>854</v>
      </c>
      <c r="N25" s="26" t="s">
        <v>19</v>
      </c>
      <c r="O25" s="29" t="s">
        <v>855</v>
      </c>
      <c r="P25" s="26" t="s">
        <v>847</v>
      </c>
      <c r="Q25" s="29" t="s">
        <v>856</v>
      </c>
      <c r="R25" s="26" t="s">
        <v>19</v>
      </c>
      <c r="S25" s="29"/>
      <c r="T25" s="50"/>
    </row>
    <row r="26" spans="1:20" s="45" customFormat="1">
      <c r="A26" s="55"/>
      <c r="B26" s="55"/>
      <c r="C26" s="55"/>
      <c r="D26" s="55"/>
      <c r="E26" s="93" t="s">
        <v>73</v>
      </c>
      <c r="F26" s="94"/>
      <c r="G26" s="94"/>
      <c r="H26" s="94"/>
      <c r="I26" s="94"/>
      <c r="J26" s="94"/>
      <c r="K26" s="94"/>
      <c r="L26" s="94"/>
      <c r="M26" s="94"/>
      <c r="N26" s="94"/>
      <c r="O26" s="94"/>
      <c r="P26" s="94"/>
      <c r="Q26" s="94"/>
      <c r="R26" s="94"/>
      <c r="S26" s="94"/>
      <c r="T26" s="95"/>
    </row>
    <row r="27" spans="1:20" s="45" customFormat="1">
      <c r="A27" s="55"/>
      <c r="B27" s="55"/>
      <c r="C27" s="55"/>
      <c r="D27" s="55"/>
      <c r="E27" s="46" t="s">
        <v>5</v>
      </c>
      <c r="F27" s="30" t="s">
        <v>6</v>
      </c>
      <c r="G27" s="30" t="s">
        <v>7</v>
      </c>
      <c r="H27" s="30" t="s">
        <v>6</v>
      </c>
      <c r="I27" s="30" t="s">
        <v>8</v>
      </c>
      <c r="J27" s="30" t="s">
        <v>6</v>
      </c>
      <c r="K27" s="30" t="s">
        <v>9</v>
      </c>
      <c r="L27" s="30" t="s">
        <v>6</v>
      </c>
      <c r="M27" s="30" t="s">
        <v>10</v>
      </c>
      <c r="N27" s="30" t="s">
        <v>6</v>
      </c>
      <c r="O27" s="30" t="s">
        <v>11</v>
      </c>
      <c r="P27" s="30" t="s">
        <v>6</v>
      </c>
      <c r="Q27" s="30" t="s">
        <v>12</v>
      </c>
      <c r="R27" s="30" t="s">
        <v>6</v>
      </c>
      <c r="S27" s="30" t="s">
        <v>13</v>
      </c>
      <c r="T27" s="50" t="s">
        <v>6</v>
      </c>
    </row>
    <row r="28" spans="1:20" s="45" customFormat="1" ht="169.5" customHeight="1">
      <c r="A28" s="51" t="s">
        <v>795</v>
      </c>
      <c r="B28" s="56">
        <v>3</v>
      </c>
      <c r="C28" s="56">
        <v>2</v>
      </c>
      <c r="D28" s="57">
        <v>11</v>
      </c>
      <c r="E28" s="29" t="s">
        <v>857</v>
      </c>
      <c r="F28" s="26" t="s">
        <v>19</v>
      </c>
      <c r="G28" s="29" t="s">
        <v>858</v>
      </c>
      <c r="H28" s="34" t="s">
        <v>842</v>
      </c>
      <c r="I28" s="29" t="s">
        <v>843</v>
      </c>
      <c r="J28" s="26" t="s">
        <v>19</v>
      </c>
      <c r="K28" s="29" t="s">
        <v>859</v>
      </c>
      <c r="L28" s="26" t="s">
        <v>19</v>
      </c>
      <c r="M28" s="29" t="s">
        <v>860</v>
      </c>
      <c r="N28" s="26" t="s">
        <v>19</v>
      </c>
      <c r="O28" s="29" t="s">
        <v>861</v>
      </c>
      <c r="P28" s="26" t="s">
        <v>847</v>
      </c>
      <c r="Q28" s="29" t="s">
        <v>862</v>
      </c>
      <c r="R28" s="34" t="s">
        <v>863</v>
      </c>
      <c r="S28" s="29"/>
      <c r="T28" s="50"/>
    </row>
    <row r="29" spans="1:20" s="45" customFormat="1">
      <c r="A29" s="55"/>
      <c r="B29" s="55"/>
      <c r="C29" s="55"/>
      <c r="D29" s="55"/>
      <c r="E29" s="93" t="s">
        <v>73</v>
      </c>
      <c r="F29" s="94"/>
      <c r="G29" s="94"/>
      <c r="H29" s="94"/>
      <c r="I29" s="94"/>
      <c r="J29" s="94"/>
      <c r="K29" s="94"/>
      <c r="L29" s="94"/>
      <c r="M29" s="94"/>
      <c r="N29" s="94"/>
      <c r="O29" s="94"/>
      <c r="P29" s="94"/>
      <c r="Q29" s="94"/>
      <c r="R29" s="94"/>
      <c r="S29" s="94"/>
      <c r="T29" s="95"/>
    </row>
    <row r="30" spans="1:20" s="45" customFormat="1">
      <c r="A30" s="55"/>
      <c r="B30" s="55"/>
      <c r="C30" s="55"/>
      <c r="D30" s="55"/>
      <c r="E30" s="46" t="s">
        <v>5</v>
      </c>
      <c r="F30" s="30" t="s">
        <v>6</v>
      </c>
      <c r="G30" s="30" t="s">
        <v>7</v>
      </c>
      <c r="H30" s="30" t="s">
        <v>6</v>
      </c>
      <c r="I30" s="30" t="s">
        <v>8</v>
      </c>
      <c r="J30" s="30" t="s">
        <v>6</v>
      </c>
      <c r="K30" s="30" t="s">
        <v>9</v>
      </c>
      <c r="L30" s="30" t="s">
        <v>6</v>
      </c>
      <c r="M30" s="30" t="s">
        <v>10</v>
      </c>
      <c r="N30" s="30" t="s">
        <v>6</v>
      </c>
      <c r="O30" s="30" t="s">
        <v>11</v>
      </c>
      <c r="P30" s="30" t="s">
        <v>6</v>
      </c>
      <c r="Q30" s="30" t="s">
        <v>12</v>
      </c>
      <c r="R30" s="30" t="s">
        <v>6</v>
      </c>
      <c r="S30" s="30" t="s">
        <v>13</v>
      </c>
      <c r="T30" s="50" t="s">
        <v>6</v>
      </c>
    </row>
    <row r="31" spans="1:20" s="45" customFormat="1" ht="224.45">
      <c r="A31" s="51" t="s">
        <v>795</v>
      </c>
      <c r="B31" s="56">
        <v>3</v>
      </c>
      <c r="C31" s="56">
        <v>2</v>
      </c>
      <c r="D31" s="57">
        <v>12</v>
      </c>
      <c r="E31" s="29" t="s">
        <v>864</v>
      </c>
      <c r="F31" s="26" t="s">
        <v>19</v>
      </c>
      <c r="G31" s="29" t="s">
        <v>865</v>
      </c>
      <c r="H31" s="34" t="s">
        <v>842</v>
      </c>
      <c r="I31" s="29" t="s">
        <v>843</v>
      </c>
      <c r="J31" s="26" t="s">
        <v>19</v>
      </c>
      <c r="K31" s="29" t="s">
        <v>866</v>
      </c>
      <c r="L31" s="26" t="s">
        <v>19</v>
      </c>
      <c r="M31" s="29" t="s">
        <v>867</v>
      </c>
      <c r="N31" s="26" t="s">
        <v>19</v>
      </c>
      <c r="O31" s="29" t="s">
        <v>868</v>
      </c>
      <c r="P31" s="26" t="s">
        <v>847</v>
      </c>
      <c r="Q31" s="29" t="s">
        <v>869</v>
      </c>
      <c r="R31" s="26" t="s">
        <v>19</v>
      </c>
      <c r="S31" s="29"/>
      <c r="T31" s="50"/>
    </row>
    <row r="32" spans="1:20" s="45" customFormat="1">
      <c r="A32" s="55"/>
      <c r="B32" s="55"/>
      <c r="C32" s="55"/>
      <c r="D32" s="55"/>
      <c r="E32" s="93" t="s">
        <v>73</v>
      </c>
      <c r="F32" s="94"/>
      <c r="G32" s="94"/>
      <c r="H32" s="94"/>
      <c r="I32" s="94"/>
      <c r="J32" s="94"/>
      <c r="K32" s="94"/>
      <c r="L32" s="94"/>
      <c r="M32" s="94"/>
      <c r="N32" s="94"/>
      <c r="O32" s="94"/>
      <c r="P32" s="94"/>
      <c r="Q32" s="94"/>
      <c r="R32" s="94"/>
      <c r="S32" s="94"/>
      <c r="T32" s="95"/>
    </row>
    <row r="33" spans="1:20" s="45" customFormat="1">
      <c r="A33" s="55"/>
      <c r="B33" s="55"/>
      <c r="C33" s="55"/>
      <c r="D33" s="55"/>
      <c r="E33" s="46" t="s">
        <v>5</v>
      </c>
      <c r="F33" s="30" t="s">
        <v>6</v>
      </c>
      <c r="G33" s="30" t="s">
        <v>7</v>
      </c>
      <c r="H33" s="30" t="s">
        <v>6</v>
      </c>
      <c r="I33" s="30" t="s">
        <v>8</v>
      </c>
      <c r="J33" s="30" t="s">
        <v>6</v>
      </c>
      <c r="K33" s="30" t="s">
        <v>9</v>
      </c>
      <c r="L33" s="30" t="s">
        <v>6</v>
      </c>
      <c r="M33" s="30" t="s">
        <v>10</v>
      </c>
      <c r="N33" s="30" t="s">
        <v>6</v>
      </c>
      <c r="O33" s="30" t="s">
        <v>11</v>
      </c>
      <c r="P33" s="30" t="s">
        <v>6</v>
      </c>
      <c r="Q33" s="30" t="s">
        <v>12</v>
      </c>
      <c r="R33" s="30" t="s">
        <v>6</v>
      </c>
      <c r="S33" s="30" t="s">
        <v>13</v>
      </c>
      <c r="T33" s="50" t="s">
        <v>6</v>
      </c>
    </row>
    <row r="34" spans="1:20" s="45" customFormat="1" ht="171.6">
      <c r="A34" s="51" t="s">
        <v>795</v>
      </c>
      <c r="B34" s="56">
        <v>3</v>
      </c>
      <c r="C34" s="56">
        <v>2</v>
      </c>
      <c r="D34" s="57">
        <v>13</v>
      </c>
      <c r="E34" s="29" t="s">
        <v>870</v>
      </c>
      <c r="F34" s="26" t="s">
        <v>19</v>
      </c>
      <c r="G34" s="29" t="s">
        <v>871</v>
      </c>
      <c r="H34" s="34" t="s">
        <v>872</v>
      </c>
      <c r="I34" s="29" t="s">
        <v>843</v>
      </c>
      <c r="J34" s="26" t="s">
        <v>19</v>
      </c>
      <c r="K34" s="29" t="s">
        <v>873</v>
      </c>
      <c r="L34" s="26" t="s">
        <v>19</v>
      </c>
      <c r="M34" s="29" t="s">
        <v>874</v>
      </c>
      <c r="N34" s="26" t="s">
        <v>19</v>
      </c>
      <c r="O34" s="29" t="s">
        <v>875</v>
      </c>
      <c r="P34" s="26" t="s">
        <v>847</v>
      </c>
      <c r="Q34" s="29" t="s">
        <v>876</v>
      </c>
      <c r="R34" s="26" t="s">
        <v>19</v>
      </c>
      <c r="S34" s="29"/>
      <c r="T34" s="50"/>
    </row>
    <row r="35" spans="1:20" s="45" customFormat="1">
      <c r="A35" s="55"/>
      <c r="B35" s="55"/>
      <c r="C35" s="55"/>
      <c r="D35" s="55"/>
      <c r="E35" s="93" t="s">
        <v>73</v>
      </c>
      <c r="F35" s="94"/>
      <c r="G35" s="94"/>
      <c r="H35" s="94"/>
      <c r="I35" s="94"/>
      <c r="J35" s="94"/>
      <c r="K35" s="94"/>
      <c r="L35" s="94"/>
      <c r="M35" s="94"/>
      <c r="N35" s="94"/>
      <c r="O35" s="94"/>
      <c r="P35" s="94"/>
      <c r="Q35" s="94"/>
      <c r="R35" s="94"/>
      <c r="S35" s="94"/>
      <c r="T35" s="95"/>
    </row>
    <row r="36" spans="1:20" s="45" customFormat="1">
      <c r="A36" s="55"/>
      <c r="B36" s="55"/>
      <c r="C36" s="55"/>
      <c r="D36" s="55"/>
      <c r="E36" s="46" t="s">
        <v>5</v>
      </c>
      <c r="F36" s="30" t="s">
        <v>6</v>
      </c>
      <c r="G36" s="30" t="s">
        <v>7</v>
      </c>
      <c r="H36" s="30" t="s">
        <v>6</v>
      </c>
      <c r="I36" s="30" t="s">
        <v>8</v>
      </c>
      <c r="J36" s="30" t="s">
        <v>6</v>
      </c>
      <c r="K36" s="30" t="s">
        <v>9</v>
      </c>
      <c r="L36" s="30" t="s">
        <v>6</v>
      </c>
      <c r="M36" s="30" t="s">
        <v>10</v>
      </c>
      <c r="N36" s="30" t="s">
        <v>6</v>
      </c>
      <c r="O36" s="30" t="s">
        <v>11</v>
      </c>
      <c r="P36" s="30" t="s">
        <v>6</v>
      </c>
      <c r="Q36" s="30" t="s">
        <v>12</v>
      </c>
      <c r="R36" s="30" t="s">
        <v>6</v>
      </c>
      <c r="S36" s="30" t="s">
        <v>13</v>
      </c>
      <c r="T36" s="50" t="s">
        <v>6</v>
      </c>
    </row>
    <row r="37" spans="1:20" s="45" customFormat="1" ht="224.45">
      <c r="A37" s="51" t="s">
        <v>795</v>
      </c>
      <c r="B37" s="56">
        <v>3</v>
      </c>
      <c r="C37" s="56">
        <v>2</v>
      </c>
      <c r="D37" s="57">
        <v>14</v>
      </c>
      <c r="E37" s="29" t="s">
        <v>877</v>
      </c>
      <c r="F37" s="26" t="s">
        <v>19</v>
      </c>
      <c r="G37" s="29" t="s">
        <v>878</v>
      </c>
      <c r="H37" s="34" t="s">
        <v>842</v>
      </c>
      <c r="I37" s="29" t="s">
        <v>843</v>
      </c>
      <c r="J37" s="26" t="s">
        <v>19</v>
      </c>
      <c r="K37" s="29" t="s">
        <v>879</v>
      </c>
      <c r="L37" s="26" t="s">
        <v>19</v>
      </c>
      <c r="M37" s="29" t="s">
        <v>880</v>
      </c>
      <c r="N37" s="26" t="s">
        <v>19</v>
      </c>
      <c r="O37" s="29" t="s">
        <v>881</v>
      </c>
      <c r="P37" s="26" t="s">
        <v>847</v>
      </c>
      <c r="Q37" s="29" t="s">
        <v>882</v>
      </c>
      <c r="R37" s="26" t="s">
        <v>19</v>
      </c>
      <c r="S37" s="29"/>
      <c r="T37" s="50"/>
    </row>
    <row r="38" spans="1:20" s="45" customFormat="1">
      <c r="A38" s="55"/>
      <c r="B38" s="55"/>
      <c r="C38" s="55"/>
      <c r="D38" s="55"/>
      <c r="E38" s="93" t="s">
        <v>120</v>
      </c>
      <c r="F38" s="94"/>
      <c r="G38" s="94"/>
      <c r="H38" s="94"/>
      <c r="I38" s="94"/>
      <c r="J38" s="94"/>
      <c r="K38" s="94"/>
      <c r="L38" s="94"/>
      <c r="M38" s="94"/>
      <c r="N38" s="94"/>
      <c r="O38" s="94"/>
      <c r="P38" s="94"/>
      <c r="Q38" s="94"/>
      <c r="R38" s="94"/>
      <c r="S38" s="94"/>
      <c r="T38" s="95"/>
    </row>
    <row r="39" spans="1:20" s="45" customFormat="1">
      <c r="A39" s="55"/>
      <c r="B39" s="55"/>
      <c r="C39" s="55"/>
      <c r="D39" s="55"/>
      <c r="E39" s="46" t="s">
        <v>5</v>
      </c>
      <c r="F39" s="30" t="s">
        <v>6</v>
      </c>
      <c r="G39" s="30" t="s">
        <v>7</v>
      </c>
      <c r="H39" s="30" t="s">
        <v>6</v>
      </c>
      <c r="I39" s="30" t="s">
        <v>8</v>
      </c>
      <c r="J39" s="30" t="s">
        <v>6</v>
      </c>
      <c r="K39" s="30" t="s">
        <v>9</v>
      </c>
      <c r="L39" s="30" t="s">
        <v>6</v>
      </c>
      <c r="M39" s="30" t="s">
        <v>10</v>
      </c>
      <c r="N39" s="30" t="s">
        <v>6</v>
      </c>
      <c r="O39" s="30" t="s">
        <v>11</v>
      </c>
      <c r="P39" s="30" t="s">
        <v>6</v>
      </c>
      <c r="Q39" s="30" t="s">
        <v>12</v>
      </c>
      <c r="R39" s="30" t="s">
        <v>6</v>
      </c>
      <c r="S39" s="30" t="s">
        <v>13</v>
      </c>
      <c r="T39" s="50" t="s">
        <v>6</v>
      </c>
    </row>
    <row r="40" spans="1:20" s="45" customFormat="1" ht="171.6">
      <c r="A40" s="51" t="s">
        <v>795</v>
      </c>
      <c r="B40" s="56">
        <v>3</v>
      </c>
      <c r="C40" s="56">
        <v>3</v>
      </c>
      <c r="D40" s="57">
        <v>1</v>
      </c>
      <c r="E40" s="29" t="s">
        <v>883</v>
      </c>
      <c r="F40" s="26"/>
      <c r="G40" s="29" t="s">
        <v>884</v>
      </c>
      <c r="H40" s="26"/>
      <c r="I40" s="29" t="s">
        <v>885</v>
      </c>
      <c r="J40" s="26" t="s">
        <v>19</v>
      </c>
      <c r="K40" s="29" t="s">
        <v>886</v>
      </c>
      <c r="L40" s="26"/>
      <c r="M40" s="29" t="s">
        <v>887</v>
      </c>
      <c r="N40" s="26"/>
      <c r="O40" s="29" t="s">
        <v>888</v>
      </c>
      <c r="P40" s="26"/>
      <c r="Q40" s="29" t="s">
        <v>889</v>
      </c>
      <c r="R40" s="34" t="s">
        <v>890</v>
      </c>
      <c r="S40" s="29"/>
      <c r="T40" s="50"/>
    </row>
    <row r="41" spans="1:20" s="45" customFormat="1">
      <c r="A41" s="55"/>
      <c r="B41" s="55"/>
      <c r="C41" s="55"/>
      <c r="D41" s="55"/>
      <c r="E41" s="93" t="s">
        <v>120</v>
      </c>
      <c r="F41" s="94"/>
      <c r="G41" s="94"/>
      <c r="H41" s="94"/>
      <c r="I41" s="94"/>
      <c r="J41" s="94"/>
      <c r="K41" s="94"/>
      <c r="L41" s="94"/>
      <c r="M41" s="94"/>
      <c r="N41" s="94"/>
      <c r="O41" s="94"/>
      <c r="P41" s="94"/>
      <c r="Q41" s="94"/>
      <c r="R41" s="94"/>
      <c r="S41" s="94"/>
      <c r="T41" s="95"/>
    </row>
    <row r="42" spans="1:20" s="45" customFormat="1">
      <c r="A42" s="55"/>
      <c r="B42" s="55"/>
      <c r="C42" s="55"/>
      <c r="D42" s="55"/>
      <c r="E42" s="46" t="s">
        <v>5</v>
      </c>
      <c r="F42" s="30" t="s">
        <v>6</v>
      </c>
      <c r="G42" s="30" t="s">
        <v>7</v>
      </c>
      <c r="H42" s="30" t="s">
        <v>6</v>
      </c>
      <c r="I42" s="30" t="s">
        <v>8</v>
      </c>
      <c r="J42" s="30" t="s">
        <v>6</v>
      </c>
      <c r="K42" s="30" t="s">
        <v>9</v>
      </c>
      <c r="L42" s="30" t="s">
        <v>6</v>
      </c>
      <c r="M42" s="30" t="s">
        <v>10</v>
      </c>
      <c r="N42" s="30" t="s">
        <v>6</v>
      </c>
      <c r="O42" s="30" t="s">
        <v>11</v>
      </c>
      <c r="P42" s="30" t="s">
        <v>6</v>
      </c>
      <c r="Q42" s="30" t="s">
        <v>12</v>
      </c>
      <c r="R42" s="30" t="s">
        <v>6</v>
      </c>
      <c r="S42" s="30" t="s">
        <v>13</v>
      </c>
      <c r="T42" s="50" t="s">
        <v>6</v>
      </c>
    </row>
    <row r="43" spans="1:20" s="45" customFormat="1" ht="145.15">
      <c r="A43" s="51" t="s">
        <v>795</v>
      </c>
      <c r="B43" s="56">
        <v>3</v>
      </c>
      <c r="C43" s="56">
        <v>3</v>
      </c>
      <c r="D43" s="57">
        <v>15</v>
      </c>
      <c r="E43" s="29" t="s">
        <v>891</v>
      </c>
      <c r="F43" s="26"/>
      <c r="G43" s="29" t="s">
        <v>892</v>
      </c>
      <c r="H43" s="26"/>
      <c r="I43" s="29" t="s">
        <v>893</v>
      </c>
      <c r="J43" s="26" t="s">
        <v>19</v>
      </c>
      <c r="K43" s="29" t="s">
        <v>894</v>
      </c>
      <c r="L43" s="26"/>
      <c r="M43" s="29" t="s">
        <v>895</v>
      </c>
      <c r="N43" s="26"/>
      <c r="O43" s="29" t="s">
        <v>896</v>
      </c>
      <c r="P43" s="26"/>
      <c r="Q43" s="29" t="s">
        <v>23</v>
      </c>
      <c r="R43" s="36" t="s">
        <v>897</v>
      </c>
      <c r="S43" s="29"/>
      <c r="T43" s="50"/>
    </row>
    <row r="44" spans="1:20" s="45" customFormat="1">
      <c r="A44" s="55"/>
      <c r="B44" s="55"/>
      <c r="C44" s="55"/>
      <c r="D44" s="55"/>
      <c r="E44" s="93" t="s">
        <v>120</v>
      </c>
      <c r="F44" s="94"/>
      <c r="G44" s="94"/>
      <c r="H44" s="94"/>
      <c r="I44" s="94"/>
      <c r="J44" s="94"/>
      <c r="K44" s="94"/>
      <c r="L44" s="94"/>
      <c r="M44" s="94"/>
      <c r="N44" s="94"/>
      <c r="O44" s="94"/>
      <c r="P44" s="94"/>
      <c r="Q44" s="94"/>
      <c r="R44" s="94"/>
      <c r="S44" s="94"/>
      <c r="T44" s="95"/>
    </row>
    <row r="45" spans="1:20" s="45" customFormat="1">
      <c r="A45" s="55"/>
      <c r="B45" s="55"/>
      <c r="C45" s="55"/>
      <c r="D45" s="55"/>
      <c r="E45" s="46" t="s">
        <v>5</v>
      </c>
      <c r="F45" s="30" t="s">
        <v>6</v>
      </c>
      <c r="G45" s="30" t="s">
        <v>7</v>
      </c>
      <c r="H45" s="30" t="s">
        <v>6</v>
      </c>
      <c r="I45" s="30" t="s">
        <v>8</v>
      </c>
      <c r="J45" s="30" t="s">
        <v>6</v>
      </c>
      <c r="K45" s="30" t="s">
        <v>9</v>
      </c>
      <c r="L45" s="30" t="s">
        <v>6</v>
      </c>
      <c r="M45" s="30" t="s">
        <v>10</v>
      </c>
      <c r="N45" s="30" t="s">
        <v>6</v>
      </c>
      <c r="O45" s="30" t="s">
        <v>11</v>
      </c>
      <c r="P45" s="30" t="s">
        <v>6</v>
      </c>
      <c r="Q45" s="30" t="s">
        <v>12</v>
      </c>
      <c r="R45" s="30" t="s">
        <v>6</v>
      </c>
      <c r="S45" s="30" t="s">
        <v>13</v>
      </c>
      <c r="T45" s="50" t="s">
        <v>6</v>
      </c>
    </row>
    <row r="46" spans="1:20" s="45" customFormat="1" ht="171.6">
      <c r="A46" s="51" t="s">
        <v>795</v>
      </c>
      <c r="B46" s="56">
        <v>3</v>
      </c>
      <c r="C46" s="56">
        <v>3</v>
      </c>
      <c r="D46" s="57">
        <v>16</v>
      </c>
      <c r="E46" s="29" t="s">
        <v>898</v>
      </c>
      <c r="F46" s="36" t="s">
        <v>899</v>
      </c>
      <c r="G46" s="29" t="s">
        <v>900</v>
      </c>
      <c r="H46" s="26"/>
      <c r="I46" s="29" t="s">
        <v>901</v>
      </c>
      <c r="J46" s="26" t="s">
        <v>902</v>
      </c>
      <c r="K46" s="29" t="s">
        <v>903</v>
      </c>
      <c r="L46" s="26"/>
      <c r="M46" s="29" t="s">
        <v>904</v>
      </c>
      <c r="N46" s="26"/>
      <c r="O46" s="29" t="s">
        <v>905</v>
      </c>
      <c r="P46" s="26"/>
      <c r="Q46" s="29" t="s">
        <v>906</v>
      </c>
      <c r="R46" s="34" t="s">
        <v>890</v>
      </c>
      <c r="S46" s="29"/>
      <c r="T46" s="50"/>
    </row>
    <row r="47" spans="1:20" s="45" customFormat="1">
      <c r="A47" s="55"/>
      <c r="B47" s="55"/>
      <c r="C47" s="55"/>
      <c r="D47" s="55"/>
      <c r="E47" s="93" t="s">
        <v>120</v>
      </c>
      <c r="F47" s="94"/>
      <c r="G47" s="94"/>
      <c r="H47" s="94"/>
      <c r="I47" s="94"/>
      <c r="J47" s="94"/>
      <c r="K47" s="94"/>
      <c r="L47" s="94"/>
      <c r="M47" s="94"/>
      <c r="N47" s="94"/>
      <c r="O47" s="94"/>
      <c r="P47" s="94"/>
      <c r="Q47" s="94"/>
      <c r="R47" s="94"/>
      <c r="S47" s="94"/>
      <c r="T47" s="95"/>
    </row>
    <row r="48" spans="1:20" s="45" customFormat="1">
      <c r="A48" s="55"/>
      <c r="B48" s="55"/>
      <c r="C48" s="55"/>
      <c r="D48" s="55"/>
      <c r="E48" s="46" t="s">
        <v>5</v>
      </c>
      <c r="F48" s="30" t="s">
        <v>6</v>
      </c>
      <c r="G48" s="30" t="s">
        <v>7</v>
      </c>
      <c r="H48" s="30" t="s">
        <v>6</v>
      </c>
      <c r="I48" s="30" t="s">
        <v>8</v>
      </c>
      <c r="J48" s="30" t="s">
        <v>6</v>
      </c>
      <c r="K48" s="30" t="s">
        <v>9</v>
      </c>
      <c r="L48" s="30" t="s">
        <v>6</v>
      </c>
      <c r="M48" s="30" t="s">
        <v>10</v>
      </c>
      <c r="N48" s="30" t="s">
        <v>6</v>
      </c>
      <c r="O48" s="30" t="s">
        <v>11</v>
      </c>
      <c r="P48" s="30" t="s">
        <v>6</v>
      </c>
      <c r="Q48" s="30" t="s">
        <v>12</v>
      </c>
      <c r="R48" s="30" t="s">
        <v>6</v>
      </c>
      <c r="S48" s="30" t="s">
        <v>13</v>
      </c>
      <c r="T48" s="50" t="s">
        <v>6</v>
      </c>
    </row>
    <row r="49" spans="1:20" s="45" customFormat="1" ht="167.25" customHeight="1">
      <c r="A49" s="51" t="s">
        <v>795</v>
      </c>
      <c r="B49" s="56">
        <v>3</v>
      </c>
      <c r="C49" s="56">
        <v>3</v>
      </c>
      <c r="D49" s="57">
        <v>17</v>
      </c>
      <c r="E49" s="29" t="s">
        <v>907</v>
      </c>
      <c r="F49" s="36" t="s">
        <v>899</v>
      </c>
      <c r="G49" s="29" t="s">
        <v>908</v>
      </c>
      <c r="H49" s="26"/>
      <c r="I49" s="29" t="s">
        <v>909</v>
      </c>
      <c r="J49" s="26" t="s">
        <v>910</v>
      </c>
      <c r="K49" s="29" t="s">
        <v>911</v>
      </c>
      <c r="L49" s="26"/>
      <c r="M49" s="29" t="s">
        <v>912</v>
      </c>
      <c r="N49" s="26"/>
      <c r="O49" s="29" t="s">
        <v>913</v>
      </c>
      <c r="P49" s="26"/>
      <c r="Q49" s="29" t="s">
        <v>128</v>
      </c>
      <c r="R49" s="36" t="s">
        <v>897</v>
      </c>
      <c r="S49" s="29"/>
      <c r="T49" s="50"/>
    </row>
    <row r="50" spans="1:20" s="45" customFormat="1">
      <c r="A50" s="55"/>
      <c r="B50" s="55"/>
      <c r="C50" s="55"/>
      <c r="D50" s="55"/>
      <c r="E50" s="93" t="s">
        <v>120</v>
      </c>
      <c r="F50" s="94"/>
      <c r="G50" s="94"/>
      <c r="H50" s="94"/>
      <c r="I50" s="94"/>
      <c r="J50" s="94"/>
      <c r="K50" s="94"/>
      <c r="L50" s="94"/>
      <c r="M50" s="94"/>
      <c r="N50" s="94"/>
      <c r="O50" s="94"/>
      <c r="P50" s="94"/>
      <c r="Q50" s="94"/>
      <c r="R50" s="94"/>
      <c r="S50" s="94"/>
      <c r="T50" s="95"/>
    </row>
    <row r="51" spans="1:20" s="45" customFormat="1">
      <c r="A51" s="55"/>
      <c r="B51" s="55"/>
      <c r="C51" s="55"/>
      <c r="D51" s="55"/>
      <c r="E51" s="46" t="s">
        <v>5</v>
      </c>
      <c r="F51" s="30" t="s">
        <v>6</v>
      </c>
      <c r="G51" s="30" t="s">
        <v>7</v>
      </c>
      <c r="H51" s="30" t="s">
        <v>6</v>
      </c>
      <c r="I51" s="30" t="s">
        <v>8</v>
      </c>
      <c r="J51" s="30" t="s">
        <v>6</v>
      </c>
      <c r="K51" s="30" t="s">
        <v>9</v>
      </c>
      <c r="L51" s="30" t="s">
        <v>6</v>
      </c>
      <c r="M51" s="30" t="s">
        <v>10</v>
      </c>
      <c r="N51" s="30" t="s">
        <v>6</v>
      </c>
      <c r="O51" s="30" t="s">
        <v>11</v>
      </c>
      <c r="P51" s="30" t="s">
        <v>6</v>
      </c>
      <c r="Q51" s="30" t="s">
        <v>12</v>
      </c>
      <c r="R51" s="30" t="s">
        <v>6</v>
      </c>
      <c r="S51" s="30" t="s">
        <v>13</v>
      </c>
      <c r="T51" s="50" t="s">
        <v>6</v>
      </c>
    </row>
    <row r="52" spans="1:20" s="45" customFormat="1" ht="171.6">
      <c r="A52" s="51" t="s">
        <v>795</v>
      </c>
      <c r="B52" s="56">
        <v>3</v>
      </c>
      <c r="C52" s="56">
        <v>3</v>
      </c>
      <c r="D52" s="57">
        <v>18</v>
      </c>
      <c r="E52" s="29" t="s">
        <v>914</v>
      </c>
      <c r="F52" s="26"/>
      <c r="G52" s="29" t="s">
        <v>915</v>
      </c>
      <c r="H52" s="26"/>
      <c r="I52" s="29" t="s">
        <v>916</v>
      </c>
      <c r="J52" s="63" t="s">
        <v>19</v>
      </c>
      <c r="K52" s="29" t="s">
        <v>917</v>
      </c>
      <c r="L52" s="26"/>
      <c r="M52" s="29" t="s">
        <v>918</v>
      </c>
      <c r="N52" s="26"/>
      <c r="O52" s="29" t="s">
        <v>919</v>
      </c>
      <c r="P52" s="26"/>
      <c r="Q52" s="29" t="s">
        <v>128</v>
      </c>
      <c r="R52" s="36" t="s">
        <v>897</v>
      </c>
      <c r="S52" s="29"/>
      <c r="T52" s="50"/>
    </row>
    <row r="53" spans="1:20" s="45" customFormat="1">
      <c r="A53" s="55"/>
      <c r="B53" s="55"/>
      <c r="C53" s="55"/>
      <c r="D53" s="55"/>
      <c r="E53" s="93" t="s">
        <v>120</v>
      </c>
      <c r="F53" s="94"/>
      <c r="G53" s="94"/>
      <c r="H53" s="94"/>
      <c r="I53" s="94"/>
      <c r="J53" s="94"/>
      <c r="K53" s="94"/>
      <c r="L53" s="94"/>
      <c r="M53" s="94"/>
      <c r="N53" s="94"/>
      <c r="O53" s="94"/>
      <c r="P53" s="94"/>
      <c r="Q53" s="94"/>
      <c r="R53" s="94"/>
      <c r="S53" s="94"/>
      <c r="T53" s="95"/>
    </row>
    <row r="54" spans="1:20" s="45" customFormat="1">
      <c r="A54" s="55"/>
      <c r="B54" s="55"/>
      <c r="C54" s="55"/>
      <c r="D54" s="55"/>
      <c r="E54" s="46" t="s">
        <v>5</v>
      </c>
      <c r="F54" s="30" t="s">
        <v>6</v>
      </c>
      <c r="G54" s="30" t="s">
        <v>7</v>
      </c>
      <c r="H54" s="30" t="s">
        <v>6</v>
      </c>
      <c r="I54" s="30" t="s">
        <v>8</v>
      </c>
      <c r="J54" s="30" t="s">
        <v>6</v>
      </c>
      <c r="K54" s="30" t="s">
        <v>9</v>
      </c>
      <c r="L54" s="30" t="s">
        <v>6</v>
      </c>
      <c r="M54" s="30" t="s">
        <v>10</v>
      </c>
      <c r="N54" s="30" t="s">
        <v>6</v>
      </c>
      <c r="O54" s="30" t="s">
        <v>11</v>
      </c>
      <c r="P54" s="30" t="s">
        <v>6</v>
      </c>
      <c r="Q54" s="30" t="s">
        <v>12</v>
      </c>
      <c r="R54" s="30" t="s">
        <v>6</v>
      </c>
      <c r="S54" s="30" t="s">
        <v>13</v>
      </c>
      <c r="T54" s="50" t="s">
        <v>6</v>
      </c>
    </row>
    <row r="55" spans="1:20" s="45" customFormat="1" ht="171.6">
      <c r="A55" s="51" t="s">
        <v>795</v>
      </c>
      <c r="B55" s="56">
        <v>3</v>
      </c>
      <c r="C55" s="56">
        <v>3</v>
      </c>
      <c r="D55" s="57">
        <v>19</v>
      </c>
      <c r="E55" s="29" t="s">
        <v>920</v>
      </c>
      <c r="F55" s="36" t="s">
        <v>899</v>
      </c>
      <c r="G55" s="29" t="s">
        <v>921</v>
      </c>
      <c r="H55" s="26"/>
      <c r="I55" s="29" t="s">
        <v>922</v>
      </c>
      <c r="J55" s="26" t="s">
        <v>416</v>
      </c>
      <c r="K55" s="29" t="s">
        <v>923</v>
      </c>
      <c r="L55" s="26"/>
      <c r="M55" s="29" t="s">
        <v>924</v>
      </c>
      <c r="N55" s="26"/>
      <c r="O55" s="29" t="s">
        <v>925</v>
      </c>
      <c r="P55" s="26"/>
      <c r="Q55" s="29" t="s">
        <v>926</v>
      </c>
      <c r="R55" s="34" t="s">
        <v>890</v>
      </c>
      <c r="S55" s="29"/>
      <c r="T55" s="50"/>
    </row>
    <row r="56" spans="1:20" s="45" customFormat="1">
      <c r="A56" s="55"/>
      <c r="B56" s="55"/>
      <c r="C56" s="55"/>
      <c r="D56" s="55"/>
      <c r="E56" s="93" t="s">
        <v>164</v>
      </c>
      <c r="F56" s="94"/>
      <c r="G56" s="94"/>
      <c r="H56" s="94"/>
      <c r="I56" s="94"/>
      <c r="J56" s="94"/>
      <c r="K56" s="94"/>
      <c r="L56" s="94"/>
      <c r="M56" s="94"/>
      <c r="N56" s="94"/>
      <c r="O56" s="94"/>
      <c r="P56" s="94"/>
      <c r="Q56" s="94"/>
      <c r="R56" s="94"/>
      <c r="S56" s="94"/>
      <c r="T56" s="95"/>
    </row>
    <row r="57" spans="1:20" s="45" customFormat="1">
      <c r="A57" s="55"/>
      <c r="B57" s="55"/>
      <c r="C57" s="55"/>
      <c r="D57" s="55"/>
      <c r="E57" s="46" t="s">
        <v>5</v>
      </c>
      <c r="F57" s="30" t="s">
        <v>6</v>
      </c>
      <c r="G57" s="30" t="s">
        <v>7</v>
      </c>
      <c r="H57" s="30" t="s">
        <v>6</v>
      </c>
      <c r="I57" s="30" t="s">
        <v>8</v>
      </c>
      <c r="J57" s="30" t="s">
        <v>6</v>
      </c>
      <c r="K57" s="30" t="s">
        <v>9</v>
      </c>
      <c r="L57" s="30" t="s">
        <v>6</v>
      </c>
      <c r="M57" s="30" t="s">
        <v>10</v>
      </c>
      <c r="N57" s="30" t="s">
        <v>6</v>
      </c>
      <c r="O57" s="30" t="s">
        <v>11</v>
      </c>
      <c r="P57" s="30" t="s">
        <v>6</v>
      </c>
      <c r="Q57" s="30" t="s">
        <v>12</v>
      </c>
      <c r="R57" s="30" t="s">
        <v>6</v>
      </c>
      <c r="S57" s="30" t="s">
        <v>13</v>
      </c>
      <c r="T57" s="50" t="s">
        <v>6</v>
      </c>
    </row>
    <row r="58" spans="1:20" s="45" customFormat="1" ht="198">
      <c r="A58" s="51" t="s">
        <v>795</v>
      </c>
      <c r="B58" s="56">
        <v>3</v>
      </c>
      <c r="C58" s="56">
        <v>4</v>
      </c>
      <c r="D58" s="57">
        <v>2</v>
      </c>
      <c r="E58" s="29" t="s">
        <v>927</v>
      </c>
      <c r="F58" s="26" t="s">
        <v>928</v>
      </c>
      <c r="G58" s="29" t="s">
        <v>929</v>
      </c>
      <c r="H58" s="36" t="s">
        <v>930</v>
      </c>
      <c r="I58" s="29" t="s">
        <v>931</v>
      </c>
      <c r="J58" s="36" t="s">
        <v>932</v>
      </c>
      <c r="K58" s="29" t="s">
        <v>933</v>
      </c>
      <c r="L58" s="26" t="s">
        <v>934</v>
      </c>
      <c r="M58" s="29" t="s">
        <v>935</v>
      </c>
      <c r="N58" s="26" t="s">
        <v>936</v>
      </c>
      <c r="O58" s="29" t="s">
        <v>937</v>
      </c>
      <c r="P58" s="26" t="s">
        <v>938</v>
      </c>
      <c r="Q58" s="29" t="s">
        <v>939</v>
      </c>
      <c r="R58" s="36" t="s">
        <v>940</v>
      </c>
      <c r="S58" s="29"/>
      <c r="T58" s="50"/>
    </row>
    <row r="59" spans="1:20" s="45" customFormat="1">
      <c r="A59" s="73"/>
      <c r="B59" s="73"/>
      <c r="C59" s="73"/>
      <c r="D59" s="73"/>
      <c r="E59" s="93" t="s">
        <v>164</v>
      </c>
      <c r="F59" s="94"/>
      <c r="G59" s="94"/>
      <c r="H59" s="94"/>
      <c r="I59" s="94"/>
      <c r="J59" s="94"/>
      <c r="K59" s="94"/>
      <c r="L59" s="94"/>
      <c r="M59" s="94"/>
      <c r="N59" s="94"/>
      <c r="O59" s="94"/>
      <c r="P59" s="94"/>
      <c r="Q59" s="94"/>
      <c r="R59" s="94"/>
      <c r="S59" s="94"/>
      <c r="T59" s="95"/>
    </row>
    <row r="60" spans="1:20" s="45" customFormat="1">
      <c r="A60" s="73"/>
      <c r="B60" s="73"/>
      <c r="C60" s="73"/>
      <c r="D60" s="73"/>
      <c r="E60" s="46" t="s">
        <v>5</v>
      </c>
      <c r="F60" s="30" t="s">
        <v>930</v>
      </c>
      <c r="G60" s="30" t="s">
        <v>7</v>
      </c>
      <c r="H60" s="30" t="s">
        <v>6</v>
      </c>
      <c r="I60" s="30" t="s">
        <v>8</v>
      </c>
      <c r="J60" s="30" t="s">
        <v>6</v>
      </c>
      <c r="K60" s="30" t="s">
        <v>9</v>
      </c>
      <c r="L60" s="30" t="s">
        <v>6</v>
      </c>
      <c r="M60" s="30" t="s">
        <v>10</v>
      </c>
      <c r="N60" s="30" t="s">
        <v>6</v>
      </c>
      <c r="O60" s="30" t="s">
        <v>11</v>
      </c>
      <c r="P60" s="30" t="s">
        <v>6</v>
      </c>
      <c r="Q60" s="30" t="s">
        <v>12</v>
      </c>
      <c r="R60" s="30" t="s">
        <v>6</v>
      </c>
      <c r="S60" s="30" t="s">
        <v>13</v>
      </c>
      <c r="T60" s="50" t="s">
        <v>6</v>
      </c>
    </row>
    <row r="61" spans="1:20" s="45" customFormat="1" ht="224.45">
      <c r="A61" s="51" t="s">
        <v>795</v>
      </c>
      <c r="B61" s="56">
        <v>3</v>
      </c>
      <c r="C61" s="56">
        <v>4</v>
      </c>
      <c r="D61" s="57">
        <v>5</v>
      </c>
      <c r="E61" s="29" t="s">
        <v>941</v>
      </c>
      <c r="F61" s="26" t="s">
        <v>19</v>
      </c>
      <c r="G61" s="29" t="s">
        <v>942</v>
      </c>
      <c r="H61" s="36"/>
      <c r="I61" s="29" t="s">
        <v>943</v>
      </c>
      <c r="J61" s="36" t="s">
        <v>932</v>
      </c>
      <c r="K61" s="29" t="s">
        <v>944</v>
      </c>
      <c r="L61" s="26" t="s">
        <v>19</v>
      </c>
      <c r="M61" s="29" t="s">
        <v>945</v>
      </c>
      <c r="N61" s="26" t="s">
        <v>19</v>
      </c>
      <c r="O61" s="29" t="s">
        <v>946</v>
      </c>
      <c r="P61" s="26" t="s">
        <v>19</v>
      </c>
      <c r="Q61" s="29" t="s">
        <v>947</v>
      </c>
      <c r="R61" s="36" t="s">
        <v>948</v>
      </c>
      <c r="S61" s="29"/>
      <c r="T61" s="75"/>
    </row>
    <row r="62" spans="1:20" s="45" customFormat="1">
      <c r="A62" s="55"/>
      <c r="B62" s="55"/>
      <c r="C62" s="55"/>
      <c r="D62" s="55"/>
      <c r="E62" s="93" t="s">
        <v>164</v>
      </c>
      <c r="F62" s="94"/>
      <c r="G62" s="94"/>
      <c r="H62" s="94"/>
      <c r="I62" s="94"/>
      <c r="J62" s="94"/>
      <c r="K62" s="94"/>
      <c r="L62" s="94"/>
      <c r="M62" s="94"/>
      <c r="N62" s="94"/>
      <c r="O62" s="94"/>
      <c r="P62" s="94"/>
      <c r="Q62" s="94"/>
      <c r="R62" s="94"/>
      <c r="S62" s="94"/>
      <c r="T62" s="95"/>
    </row>
    <row r="63" spans="1:20" s="45" customFormat="1">
      <c r="A63" s="55"/>
      <c r="B63" s="55"/>
      <c r="C63" s="55"/>
      <c r="D63" s="55"/>
      <c r="E63" s="46" t="s">
        <v>5</v>
      </c>
      <c r="F63" s="30" t="s">
        <v>930</v>
      </c>
      <c r="G63" s="30" t="s">
        <v>7</v>
      </c>
      <c r="H63" s="30" t="s">
        <v>6</v>
      </c>
      <c r="I63" s="30" t="s">
        <v>8</v>
      </c>
      <c r="J63" s="30" t="s">
        <v>6</v>
      </c>
      <c r="K63" s="30" t="s">
        <v>9</v>
      </c>
      <c r="L63" s="30" t="s">
        <v>6</v>
      </c>
      <c r="M63" s="30" t="s">
        <v>10</v>
      </c>
      <c r="N63" s="30" t="s">
        <v>6</v>
      </c>
      <c r="O63" s="30" t="s">
        <v>11</v>
      </c>
      <c r="P63" s="30" t="s">
        <v>6</v>
      </c>
      <c r="Q63" s="30" t="s">
        <v>12</v>
      </c>
      <c r="R63" s="30" t="s">
        <v>6</v>
      </c>
      <c r="S63" s="30" t="s">
        <v>13</v>
      </c>
      <c r="T63" s="50" t="s">
        <v>6</v>
      </c>
    </row>
    <row r="64" spans="1:20" s="45" customFormat="1" ht="224.45">
      <c r="A64" s="51" t="s">
        <v>795</v>
      </c>
      <c r="B64" s="56">
        <v>3</v>
      </c>
      <c r="C64" s="56">
        <v>4</v>
      </c>
      <c r="D64" s="57">
        <v>10</v>
      </c>
      <c r="E64" s="29" t="s">
        <v>949</v>
      </c>
      <c r="F64" s="26" t="s">
        <v>19</v>
      </c>
      <c r="G64" s="29" t="s">
        <v>950</v>
      </c>
      <c r="H64" s="26"/>
      <c r="I64" s="29" t="s">
        <v>951</v>
      </c>
      <c r="J64" s="36" t="s">
        <v>932</v>
      </c>
      <c r="K64" s="29" t="s">
        <v>952</v>
      </c>
      <c r="L64" s="26" t="s">
        <v>19</v>
      </c>
      <c r="M64" s="29" t="s">
        <v>953</v>
      </c>
      <c r="N64" s="26" t="s">
        <v>19</v>
      </c>
      <c r="O64" s="29" t="s">
        <v>954</v>
      </c>
      <c r="P64" s="26" t="s">
        <v>19</v>
      </c>
      <c r="Q64" s="29" t="s">
        <v>955</v>
      </c>
      <c r="R64" s="62" t="s">
        <v>948</v>
      </c>
      <c r="S64" s="29"/>
      <c r="T64" s="50"/>
    </row>
    <row r="65" spans="1:43" s="45" customFormat="1">
      <c r="A65" s="55"/>
      <c r="B65" s="55"/>
      <c r="C65" s="55"/>
      <c r="D65" s="55"/>
      <c r="E65" s="93" t="s">
        <v>164</v>
      </c>
      <c r="F65" s="94"/>
      <c r="G65" s="94"/>
      <c r="H65" s="94"/>
      <c r="I65" s="94"/>
      <c r="J65" s="94"/>
      <c r="K65" s="94"/>
      <c r="L65" s="94"/>
      <c r="M65" s="94"/>
      <c r="N65" s="94"/>
      <c r="O65" s="94"/>
      <c r="P65" s="94"/>
      <c r="Q65" s="94"/>
      <c r="R65" s="94"/>
      <c r="S65" s="94"/>
      <c r="T65" s="95"/>
    </row>
    <row r="66" spans="1:43" s="45" customFormat="1">
      <c r="A66" s="55"/>
      <c r="B66" s="55"/>
      <c r="C66" s="55"/>
      <c r="D66" s="55"/>
      <c r="E66" s="46" t="s">
        <v>5</v>
      </c>
      <c r="F66" s="30" t="s">
        <v>6</v>
      </c>
      <c r="G66" s="30" t="s">
        <v>7</v>
      </c>
      <c r="H66" s="30" t="s">
        <v>6</v>
      </c>
      <c r="I66" s="30" t="s">
        <v>8</v>
      </c>
      <c r="J66" s="30" t="s">
        <v>6</v>
      </c>
      <c r="K66" s="30" t="s">
        <v>9</v>
      </c>
      <c r="L66" s="30" t="s">
        <v>6</v>
      </c>
      <c r="M66" s="30" t="s">
        <v>10</v>
      </c>
      <c r="N66" s="30" t="s">
        <v>6</v>
      </c>
      <c r="O66" s="30" t="s">
        <v>11</v>
      </c>
      <c r="P66" s="30" t="s">
        <v>6</v>
      </c>
      <c r="Q66" s="30" t="s">
        <v>12</v>
      </c>
      <c r="R66" s="30" t="s">
        <v>6</v>
      </c>
      <c r="S66" s="30" t="s">
        <v>13</v>
      </c>
      <c r="T66" s="50" t="s">
        <v>6</v>
      </c>
    </row>
    <row r="67" spans="1:43" s="45" customFormat="1" ht="237.6">
      <c r="A67" s="51" t="s">
        <v>795</v>
      </c>
      <c r="B67" s="56">
        <v>3</v>
      </c>
      <c r="C67" s="56">
        <v>4</v>
      </c>
      <c r="D67" s="57">
        <v>15</v>
      </c>
      <c r="E67" s="29" t="s">
        <v>956</v>
      </c>
      <c r="F67" s="36" t="s">
        <v>957</v>
      </c>
      <c r="G67" s="29" t="s">
        <v>958</v>
      </c>
      <c r="H67" s="36"/>
      <c r="I67" s="29" t="s">
        <v>959</v>
      </c>
      <c r="J67" s="36" t="s">
        <v>932</v>
      </c>
      <c r="K67" s="29" t="s">
        <v>960</v>
      </c>
      <c r="L67" s="26" t="s">
        <v>19</v>
      </c>
      <c r="M67" s="29" t="s">
        <v>961</v>
      </c>
      <c r="N67" s="26" t="s">
        <v>19</v>
      </c>
      <c r="O67" s="29" t="s">
        <v>962</v>
      </c>
      <c r="P67" s="26" t="s">
        <v>19</v>
      </c>
      <c r="Q67" s="29" t="s">
        <v>963</v>
      </c>
      <c r="R67" s="36" t="s">
        <v>964</v>
      </c>
      <c r="S67" s="29"/>
      <c r="T67" s="50"/>
    </row>
    <row r="68" spans="1:43" s="45" customFormat="1">
      <c r="A68" s="55"/>
      <c r="B68" s="55"/>
      <c r="C68" s="55"/>
      <c r="D68" s="55"/>
      <c r="E68" s="93" t="s">
        <v>164</v>
      </c>
      <c r="F68" s="94"/>
      <c r="G68" s="94"/>
      <c r="H68" s="94"/>
      <c r="I68" s="94"/>
      <c r="J68" s="94"/>
      <c r="K68" s="94"/>
      <c r="L68" s="94"/>
      <c r="M68" s="94"/>
      <c r="N68" s="94"/>
      <c r="O68" s="94"/>
      <c r="P68" s="94"/>
      <c r="Q68" s="94"/>
      <c r="R68" s="94"/>
      <c r="S68" s="94"/>
      <c r="T68" s="95"/>
    </row>
    <row r="69" spans="1:43" s="45" customFormat="1">
      <c r="A69" s="55"/>
      <c r="B69" s="55"/>
      <c r="C69" s="55"/>
      <c r="D69" s="55"/>
      <c r="E69" s="46" t="s">
        <v>5</v>
      </c>
      <c r="F69" s="30" t="s">
        <v>6</v>
      </c>
      <c r="G69" s="30" t="s">
        <v>7</v>
      </c>
      <c r="H69" s="30" t="s">
        <v>6</v>
      </c>
      <c r="I69" s="30" t="s">
        <v>8</v>
      </c>
      <c r="J69" s="30" t="s">
        <v>6</v>
      </c>
      <c r="K69" s="30" t="s">
        <v>9</v>
      </c>
      <c r="L69" s="30" t="s">
        <v>6</v>
      </c>
      <c r="M69" s="30" t="s">
        <v>10</v>
      </c>
      <c r="N69" s="30" t="s">
        <v>6</v>
      </c>
      <c r="O69" s="30" t="s">
        <v>11</v>
      </c>
      <c r="P69" s="30" t="s">
        <v>6</v>
      </c>
      <c r="Q69" s="30" t="s">
        <v>12</v>
      </c>
      <c r="R69" s="30" t="s">
        <v>6</v>
      </c>
      <c r="S69" s="30" t="s">
        <v>13</v>
      </c>
      <c r="T69" s="50" t="s">
        <v>6</v>
      </c>
    </row>
    <row r="70" spans="1:43" s="45" customFormat="1" ht="198">
      <c r="A70" s="51" t="s">
        <v>795</v>
      </c>
      <c r="B70" s="56">
        <v>3</v>
      </c>
      <c r="C70" s="56">
        <v>4</v>
      </c>
      <c r="D70" s="57">
        <v>20</v>
      </c>
      <c r="E70" s="29" t="s">
        <v>965</v>
      </c>
      <c r="F70" s="26" t="s">
        <v>19</v>
      </c>
      <c r="G70" s="29" t="s">
        <v>966</v>
      </c>
      <c r="H70" s="26" t="s">
        <v>19</v>
      </c>
      <c r="I70" s="29" t="s">
        <v>951</v>
      </c>
      <c r="J70" s="36" t="s">
        <v>932</v>
      </c>
      <c r="K70" s="29" t="s">
        <v>967</v>
      </c>
      <c r="L70" s="26" t="s">
        <v>19</v>
      </c>
      <c r="M70" s="29" t="s">
        <v>968</v>
      </c>
      <c r="N70" s="26" t="s">
        <v>19</v>
      </c>
      <c r="O70" s="29" t="s">
        <v>969</v>
      </c>
      <c r="P70" s="26" t="s">
        <v>19</v>
      </c>
      <c r="Q70" s="29" t="s">
        <v>970</v>
      </c>
      <c r="R70" s="36" t="s">
        <v>971</v>
      </c>
      <c r="S70" s="29"/>
      <c r="T70" s="50"/>
    </row>
    <row r="71" spans="1:43" s="45" customFormat="1">
      <c r="A71" s="55"/>
      <c r="B71" s="55"/>
      <c r="C71" s="55"/>
      <c r="D71" s="55"/>
      <c r="E71" s="93" t="s">
        <v>164</v>
      </c>
      <c r="F71" s="94"/>
      <c r="G71" s="94"/>
      <c r="H71" s="94"/>
      <c r="I71" s="94"/>
      <c r="J71" s="94"/>
      <c r="K71" s="94"/>
      <c r="L71" s="94"/>
      <c r="M71" s="94"/>
      <c r="N71" s="94"/>
      <c r="O71" s="94"/>
      <c r="P71" s="94"/>
      <c r="Q71" s="94"/>
      <c r="R71" s="94"/>
      <c r="S71" s="94"/>
      <c r="T71" s="95"/>
    </row>
    <row r="72" spans="1:43" s="45" customFormat="1">
      <c r="A72" s="55"/>
      <c r="B72" s="55"/>
      <c r="C72" s="55"/>
      <c r="D72" s="55"/>
      <c r="E72" s="46" t="s">
        <v>5</v>
      </c>
      <c r="F72" s="30" t="s">
        <v>6</v>
      </c>
      <c r="G72" s="30" t="s">
        <v>7</v>
      </c>
      <c r="H72" s="30" t="s">
        <v>6</v>
      </c>
      <c r="I72" s="30" t="s">
        <v>8</v>
      </c>
      <c r="J72" s="30" t="s">
        <v>6</v>
      </c>
      <c r="K72" s="30" t="s">
        <v>9</v>
      </c>
      <c r="L72" s="30" t="s">
        <v>6</v>
      </c>
      <c r="M72" s="30" t="s">
        <v>10</v>
      </c>
      <c r="N72" s="30" t="s">
        <v>6</v>
      </c>
      <c r="O72" s="30" t="s">
        <v>11</v>
      </c>
      <c r="P72" s="30" t="s">
        <v>6</v>
      </c>
      <c r="Q72" s="30" t="s">
        <v>12</v>
      </c>
      <c r="R72" s="30" t="s">
        <v>6</v>
      </c>
      <c r="S72" s="30" t="s">
        <v>13</v>
      </c>
      <c r="T72" s="50" t="s">
        <v>6</v>
      </c>
    </row>
    <row r="73" spans="1:43" s="45" customFormat="1" ht="224.45">
      <c r="A73" s="51" t="s">
        <v>795</v>
      </c>
      <c r="B73" s="56">
        <v>3</v>
      </c>
      <c r="C73" s="56">
        <v>4</v>
      </c>
      <c r="D73" s="57">
        <v>21</v>
      </c>
      <c r="E73" s="29" t="s">
        <v>972</v>
      </c>
      <c r="F73" s="36" t="s">
        <v>973</v>
      </c>
      <c r="G73" s="29" t="s">
        <v>974</v>
      </c>
      <c r="H73" s="36"/>
      <c r="I73" s="29" t="s">
        <v>975</v>
      </c>
      <c r="J73" s="36" t="s">
        <v>932</v>
      </c>
      <c r="K73" s="29" t="s">
        <v>976</v>
      </c>
      <c r="L73" s="26" t="s">
        <v>19</v>
      </c>
      <c r="M73" s="29" t="s">
        <v>977</v>
      </c>
      <c r="N73" s="26" t="s">
        <v>19</v>
      </c>
      <c r="O73" s="29" t="s">
        <v>978</v>
      </c>
      <c r="P73" s="26" t="s">
        <v>19</v>
      </c>
      <c r="Q73" s="29" t="s">
        <v>979</v>
      </c>
      <c r="R73" s="36" t="s">
        <v>980</v>
      </c>
      <c r="S73" s="29"/>
      <c r="T73" s="50"/>
    </row>
    <row r="74" spans="1:43" s="45" customFormat="1">
      <c r="A74" s="55"/>
      <c r="B74" s="55"/>
      <c r="C74" s="55"/>
      <c r="D74" s="55"/>
      <c r="E74" s="93" t="s">
        <v>164</v>
      </c>
      <c r="F74" s="94"/>
      <c r="G74" s="94"/>
      <c r="H74" s="94"/>
      <c r="I74" s="94"/>
      <c r="J74" s="94"/>
      <c r="K74" s="94"/>
      <c r="L74" s="94"/>
      <c r="M74" s="94"/>
      <c r="N74" s="94"/>
      <c r="O74" s="94"/>
      <c r="P74" s="94"/>
      <c r="Q74" s="94"/>
      <c r="R74" s="94"/>
      <c r="S74" s="94"/>
      <c r="T74" s="95"/>
    </row>
    <row r="75" spans="1:43" s="45" customFormat="1">
      <c r="A75" s="55"/>
      <c r="B75" s="55"/>
      <c r="C75" s="55"/>
      <c r="D75" s="55"/>
      <c r="E75" s="46" t="s">
        <v>5</v>
      </c>
      <c r="F75" s="30" t="s">
        <v>6</v>
      </c>
      <c r="G75" s="30" t="s">
        <v>7</v>
      </c>
      <c r="H75" s="30" t="s">
        <v>6</v>
      </c>
      <c r="I75" s="30" t="s">
        <v>8</v>
      </c>
      <c r="J75" s="30" t="s">
        <v>6</v>
      </c>
      <c r="K75" s="30" t="s">
        <v>9</v>
      </c>
      <c r="L75" s="30" t="s">
        <v>6</v>
      </c>
      <c r="M75" s="30" t="s">
        <v>10</v>
      </c>
      <c r="N75" s="30" t="s">
        <v>6</v>
      </c>
      <c r="O75" s="30" t="s">
        <v>11</v>
      </c>
      <c r="P75" s="30" t="s">
        <v>6</v>
      </c>
      <c r="Q75" s="30" t="s">
        <v>12</v>
      </c>
      <c r="R75" s="30" t="s">
        <v>6</v>
      </c>
      <c r="S75" s="30" t="s">
        <v>13</v>
      </c>
      <c r="T75" s="50" t="s">
        <v>6</v>
      </c>
    </row>
    <row r="76" spans="1:43" s="45" customFormat="1" ht="198">
      <c r="A76" s="51" t="s">
        <v>795</v>
      </c>
      <c r="B76" s="56">
        <v>3</v>
      </c>
      <c r="C76" s="56">
        <v>4</v>
      </c>
      <c r="D76" s="57">
        <v>22</v>
      </c>
      <c r="E76" s="29" t="s">
        <v>981</v>
      </c>
      <c r="F76" s="26" t="s">
        <v>19</v>
      </c>
      <c r="G76" s="29" t="s">
        <v>982</v>
      </c>
      <c r="H76" s="26" t="s">
        <v>19</v>
      </c>
      <c r="I76" s="29" t="s">
        <v>975</v>
      </c>
      <c r="J76" s="36" t="s">
        <v>932</v>
      </c>
      <c r="K76" s="29" t="s">
        <v>983</v>
      </c>
      <c r="L76" s="26" t="s">
        <v>19</v>
      </c>
      <c r="M76" s="29" t="s">
        <v>984</v>
      </c>
      <c r="N76" s="26" t="s">
        <v>19</v>
      </c>
      <c r="O76" s="29" t="s">
        <v>985</v>
      </c>
      <c r="P76" s="26" t="s">
        <v>19</v>
      </c>
      <c r="Q76" s="29" t="s">
        <v>986</v>
      </c>
      <c r="R76" s="36" t="s">
        <v>987</v>
      </c>
      <c r="S76" s="29"/>
      <c r="T76" s="50"/>
    </row>
    <row r="77" spans="1:43" s="45" customFormat="1">
      <c r="A77" s="55"/>
      <c r="B77" s="55"/>
      <c r="C77" s="55"/>
      <c r="D77" s="55"/>
      <c r="E77" s="93" t="s">
        <v>227</v>
      </c>
      <c r="F77" s="94"/>
      <c r="G77" s="94"/>
      <c r="H77" s="94"/>
      <c r="I77" s="94"/>
      <c r="J77" s="94"/>
      <c r="K77" s="94"/>
      <c r="L77" s="94"/>
      <c r="M77" s="94"/>
      <c r="N77" s="94"/>
      <c r="O77" s="94"/>
      <c r="P77" s="94"/>
      <c r="Q77" s="94"/>
      <c r="R77" s="94"/>
      <c r="S77" s="94"/>
      <c r="T77" s="95"/>
    </row>
    <row r="78" spans="1:43" s="45" customFormat="1">
      <c r="A78" s="55"/>
      <c r="B78" s="55"/>
      <c r="C78" s="55"/>
      <c r="D78" s="55"/>
      <c r="E78" s="46" t="s">
        <v>5</v>
      </c>
      <c r="F78" s="30" t="s">
        <v>6</v>
      </c>
      <c r="G78" s="30" t="s">
        <v>7</v>
      </c>
      <c r="H78" s="30" t="s">
        <v>6</v>
      </c>
      <c r="I78" s="30" t="s">
        <v>8</v>
      </c>
      <c r="J78" s="30" t="s">
        <v>6</v>
      </c>
      <c r="K78" s="30" t="s">
        <v>9</v>
      </c>
      <c r="L78" s="30" t="s">
        <v>6</v>
      </c>
      <c r="M78" s="30" t="s">
        <v>10</v>
      </c>
      <c r="N78" s="30" t="s">
        <v>6</v>
      </c>
      <c r="O78" s="30" t="s">
        <v>11</v>
      </c>
      <c r="P78" s="30" t="s">
        <v>6</v>
      </c>
      <c r="Q78" s="30" t="s">
        <v>12</v>
      </c>
      <c r="R78" s="30" t="s">
        <v>6</v>
      </c>
      <c r="S78" s="30" t="s">
        <v>13</v>
      </c>
      <c r="T78" s="50" t="s">
        <v>6</v>
      </c>
    </row>
    <row r="79" spans="1:43" s="45" customFormat="1" ht="169.5" customHeight="1">
      <c r="A79" s="51" t="s">
        <v>795</v>
      </c>
      <c r="B79" s="56">
        <v>3</v>
      </c>
      <c r="C79" s="56">
        <v>5</v>
      </c>
      <c r="D79" s="57">
        <v>2</v>
      </c>
      <c r="E79" s="29" t="s">
        <v>988</v>
      </c>
      <c r="F79" s="26" t="s">
        <v>19</v>
      </c>
      <c r="G79" s="29" t="s">
        <v>989</v>
      </c>
      <c r="H79" s="36" t="s">
        <v>990</v>
      </c>
      <c r="I79" s="29" t="s">
        <v>991</v>
      </c>
      <c r="J79" s="26" t="s">
        <v>416</v>
      </c>
      <c r="K79" s="29" t="s">
        <v>992</v>
      </c>
      <c r="L79" s="26" t="s">
        <v>19</v>
      </c>
      <c r="M79" s="29" t="s">
        <v>993</v>
      </c>
      <c r="N79" s="26" t="s">
        <v>19</v>
      </c>
      <c r="O79" s="29" t="s">
        <v>994</v>
      </c>
      <c r="P79" s="26" t="s">
        <v>19</v>
      </c>
      <c r="Q79" s="29" t="s">
        <v>128</v>
      </c>
      <c r="R79" s="26" t="s">
        <v>19</v>
      </c>
      <c r="S79" s="29"/>
      <c r="T79" s="50"/>
    </row>
    <row r="80" spans="1:43" s="45" customFormat="1">
      <c r="A80" s="55"/>
      <c r="B80" s="55"/>
      <c r="C80" s="55"/>
      <c r="D80" s="55"/>
      <c r="E80" s="93" t="s">
        <v>227</v>
      </c>
      <c r="F80" s="94"/>
      <c r="G80" s="94"/>
      <c r="H80" s="94"/>
      <c r="I80" s="94"/>
      <c r="J80" s="94"/>
      <c r="K80" s="94"/>
      <c r="L80" s="94"/>
      <c r="M80" s="94"/>
      <c r="N80" s="94"/>
      <c r="O80" s="94"/>
      <c r="P80" s="94"/>
      <c r="Q80" s="94"/>
      <c r="R80" s="94"/>
      <c r="S80" s="94"/>
      <c r="T80" s="95"/>
      <c r="AQ80" s="45" t="str">
        <f>CHAR(10)</f>
        <v xml:space="preserve">
</v>
      </c>
    </row>
    <row r="81" spans="1:20" s="45" customFormat="1">
      <c r="A81" s="55"/>
      <c r="B81" s="55"/>
      <c r="C81" s="55"/>
      <c r="D81" s="55"/>
      <c r="E81" s="46" t="s">
        <v>5</v>
      </c>
      <c r="F81" s="30" t="s">
        <v>6</v>
      </c>
      <c r="G81" s="30" t="s">
        <v>7</v>
      </c>
      <c r="H81" s="30" t="s">
        <v>6</v>
      </c>
      <c r="I81" s="30" t="s">
        <v>8</v>
      </c>
      <c r="J81" s="30" t="s">
        <v>6</v>
      </c>
      <c r="K81" s="30" t="s">
        <v>9</v>
      </c>
      <c r="L81" s="30" t="s">
        <v>6</v>
      </c>
      <c r="M81" s="30" t="s">
        <v>10</v>
      </c>
      <c r="N81" s="30" t="s">
        <v>6</v>
      </c>
      <c r="O81" s="30" t="s">
        <v>11</v>
      </c>
      <c r="P81" s="30" t="s">
        <v>6</v>
      </c>
      <c r="Q81" s="30" t="s">
        <v>12</v>
      </c>
      <c r="R81" s="30" t="s">
        <v>6</v>
      </c>
      <c r="S81" s="30" t="s">
        <v>13</v>
      </c>
      <c r="T81" s="50" t="s">
        <v>6</v>
      </c>
    </row>
    <row r="82" spans="1:20" s="45" customFormat="1" ht="198">
      <c r="A82" s="51" t="s">
        <v>795</v>
      </c>
      <c r="B82" s="56">
        <v>3</v>
      </c>
      <c r="C82" s="56">
        <v>5</v>
      </c>
      <c r="D82" s="57">
        <v>6</v>
      </c>
      <c r="E82" s="29" t="s">
        <v>995</v>
      </c>
      <c r="F82" s="26" t="s">
        <v>19</v>
      </c>
      <c r="G82" s="29" t="s">
        <v>996</v>
      </c>
      <c r="H82" s="36" t="s">
        <v>990</v>
      </c>
      <c r="I82" s="29" t="s">
        <v>997</v>
      </c>
      <c r="J82" s="26" t="s">
        <v>416</v>
      </c>
      <c r="K82" s="29" t="s">
        <v>998</v>
      </c>
      <c r="L82" s="26" t="s">
        <v>19</v>
      </c>
      <c r="M82" s="29" t="s">
        <v>999</v>
      </c>
      <c r="N82" s="26" t="s">
        <v>19</v>
      </c>
      <c r="O82" s="29" t="s">
        <v>1000</v>
      </c>
      <c r="P82" s="26" t="s">
        <v>19</v>
      </c>
      <c r="Q82" s="29" t="s">
        <v>128</v>
      </c>
      <c r="R82" s="26" t="s">
        <v>19</v>
      </c>
      <c r="S82" s="29"/>
      <c r="T82" s="50"/>
    </row>
    <row r="83" spans="1:20" s="45" customFormat="1">
      <c r="A83" s="55"/>
      <c r="B83" s="55"/>
      <c r="C83" s="55"/>
      <c r="D83" s="55"/>
      <c r="E83" s="93" t="s">
        <v>227</v>
      </c>
      <c r="F83" s="94"/>
      <c r="G83" s="94"/>
      <c r="H83" s="94"/>
      <c r="I83" s="94"/>
      <c r="J83" s="94"/>
      <c r="K83" s="94"/>
      <c r="L83" s="94"/>
      <c r="M83" s="94"/>
      <c r="N83" s="94"/>
      <c r="O83" s="94"/>
      <c r="P83" s="94"/>
      <c r="Q83" s="94"/>
      <c r="R83" s="94"/>
      <c r="S83" s="94"/>
      <c r="T83" s="95"/>
    </row>
    <row r="84" spans="1:20" s="45" customFormat="1">
      <c r="A84" s="55"/>
      <c r="B84" s="55"/>
      <c r="C84" s="55"/>
      <c r="D84" s="55"/>
      <c r="E84" s="46" t="s">
        <v>5</v>
      </c>
      <c r="F84" s="30" t="s">
        <v>6</v>
      </c>
      <c r="G84" s="30" t="s">
        <v>7</v>
      </c>
      <c r="H84" s="30" t="s">
        <v>6</v>
      </c>
      <c r="I84" s="30" t="s">
        <v>8</v>
      </c>
      <c r="J84" s="30" t="s">
        <v>6</v>
      </c>
      <c r="K84" s="30" t="s">
        <v>9</v>
      </c>
      <c r="L84" s="30" t="s">
        <v>6</v>
      </c>
      <c r="M84" s="30" t="s">
        <v>10</v>
      </c>
      <c r="N84" s="30" t="s">
        <v>6</v>
      </c>
      <c r="O84" s="30" t="s">
        <v>11</v>
      </c>
      <c r="P84" s="30" t="s">
        <v>6</v>
      </c>
      <c r="Q84" s="30" t="s">
        <v>12</v>
      </c>
      <c r="R84" s="30" t="s">
        <v>6</v>
      </c>
      <c r="S84" s="30" t="s">
        <v>13</v>
      </c>
      <c r="T84" s="50" t="s">
        <v>6</v>
      </c>
    </row>
    <row r="85" spans="1:20" s="45" customFormat="1" ht="191.25" customHeight="1">
      <c r="A85" s="51" t="s">
        <v>795</v>
      </c>
      <c r="B85" s="56">
        <v>3</v>
      </c>
      <c r="C85" s="56">
        <v>5</v>
      </c>
      <c r="D85" s="57">
        <v>11</v>
      </c>
      <c r="E85" s="29" t="s">
        <v>1001</v>
      </c>
      <c r="F85" s="26" t="s">
        <v>19</v>
      </c>
      <c r="G85" s="29" t="s">
        <v>1002</v>
      </c>
      <c r="H85" s="36" t="s">
        <v>990</v>
      </c>
      <c r="I85" s="29" t="s">
        <v>997</v>
      </c>
      <c r="J85" s="26" t="s">
        <v>416</v>
      </c>
      <c r="K85" s="29" t="s">
        <v>1003</v>
      </c>
      <c r="L85" s="26" t="s">
        <v>19</v>
      </c>
      <c r="M85" s="29" t="s">
        <v>1004</v>
      </c>
      <c r="N85" s="26" t="s">
        <v>19</v>
      </c>
      <c r="O85" s="29" t="s">
        <v>1005</v>
      </c>
      <c r="P85" s="26" t="s">
        <v>19</v>
      </c>
      <c r="Q85" s="29" t="s">
        <v>128</v>
      </c>
      <c r="R85" s="26" t="s">
        <v>19</v>
      </c>
      <c r="S85" s="29"/>
      <c r="T85" s="50"/>
    </row>
    <row r="86" spans="1:20" s="45" customFormat="1">
      <c r="A86" s="55"/>
      <c r="B86" s="55"/>
      <c r="C86" s="55"/>
      <c r="D86" s="55"/>
      <c r="E86" s="93" t="s">
        <v>227</v>
      </c>
      <c r="F86" s="94"/>
      <c r="G86" s="94"/>
      <c r="H86" s="94"/>
      <c r="I86" s="94"/>
      <c r="J86" s="94"/>
      <c r="K86" s="94"/>
      <c r="L86" s="94"/>
      <c r="M86" s="94"/>
      <c r="N86" s="94"/>
      <c r="O86" s="94"/>
      <c r="P86" s="94"/>
      <c r="Q86" s="94"/>
      <c r="R86" s="94"/>
      <c r="S86" s="94"/>
      <c r="T86" s="95"/>
    </row>
    <row r="87" spans="1:20" s="45" customFormat="1">
      <c r="A87" s="55"/>
      <c r="B87" s="55"/>
      <c r="C87" s="55"/>
      <c r="D87" s="55"/>
      <c r="E87" s="46" t="s">
        <v>5</v>
      </c>
      <c r="F87" s="30" t="s">
        <v>6</v>
      </c>
      <c r="G87" s="30" t="s">
        <v>7</v>
      </c>
      <c r="H87" s="30" t="s">
        <v>6</v>
      </c>
      <c r="I87" s="30" t="s">
        <v>8</v>
      </c>
      <c r="J87" s="30" t="s">
        <v>6</v>
      </c>
      <c r="K87" s="30" t="s">
        <v>9</v>
      </c>
      <c r="L87" s="30" t="s">
        <v>6</v>
      </c>
      <c r="M87" s="30" t="s">
        <v>10</v>
      </c>
      <c r="N87" s="30" t="s">
        <v>6</v>
      </c>
      <c r="O87" s="30" t="s">
        <v>11</v>
      </c>
      <c r="P87" s="30" t="s">
        <v>6</v>
      </c>
      <c r="Q87" s="30" t="s">
        <v>12</v>
      </c>
      <c r="R87" s="30" t="s">
        <v>6</v>
      </c>
      <c r="S87" s="30" t="s">
        <v>13</v>
      </c>
      <c r="T87" s="50" t="s">
        <v>6</v>
      </c>
    </row>
    <row r="88" spans="1:20" s="45" customFormat="1" ht="186" customHeight="1">
      <c r="A88" s="51" t="s">
        <v>795</v>
      </c>
      <c r="B88" s="56">
        <v>3</v>
      </c>
      <c r="C88" s="56">
        <v>5</v>
      </c>
      <c r="D88" s="57">
        <v>16</v>
      </c>
      <c r="E88" s="29" t="s">
        <v>1006</v>
      </c>
      <c r="F88" s="26" t="s">
        <v>19</v>
      </c>
      <c r="G88" s="29" t="s">
        <v>1007</v>
      </c>
      <c r="H88" s="36" t="s">
        <v>990</v>
      </c>
      <c r="I88" s="29" t="s">
        <v>1008</v>
      </c>
      <c r="J88" s="26" t="s">
        <v>416</v>
      </c>
      <c r="K88" s="29" t="s">
        <v>1009</v>
      </c>
      <c r="L88" s="26" t="s">
        <v>19</v>
      </c>
      <c r="M88" s="29" t="s">
        <v>1010</v>
      </c>
      <c r="N88" s="26" t="s">
        <v>19</v>
      </c>
      <c r="O88" s="29" t="s">
        <v>1011</v>
      </c>
      <c r="P88" s="26" t="s">
        <v>19</v>
      </c>
      <c r="Q88" s="29" t="s">
        <v>128</v>
      </c>
      <c r="R88" s="26" t="s">
        <v>19</v>
      </c>
      <c r="S88" s="29"/>
      <c r="T88" s="50"/>
    </row>
    <row r="89" spans="1:20" s="45" customFormat="1">
      <c r="A89" s="55"/>
      <c r="B89" s="55"/>
      <c r="C89" s="55"/>
      <c r="D89" s="55"/>
      <c r="E89" s="93" t="s">
        <v>227</v>
      </c>
      <c r="F89" s="94"/>
      <c r="G89" s="94"/>
      <c r="H89" s="94"/>
      <c r="I89" s="94"/>
      <c r="J89" s="94"/>
      <c r="K89" s="94"/>
      <c r="L89" s="94"/>
      <c r="M89" s="94"/>
      <c r="N89" s="94"/>
      <c r="O89" s="94"/>
      <c r="P89" s="94"/>
      <c r="Q89" s="94"/>
      <c r="R89" s="94"/>
      <c r="S89" s="94"/>
      <c r="T89" s="95"/>
    </row>
    <row r="90" spans="1:20" s="45" customFormat="1">
      <c r="A90" s="55"/>
      <c r="B90" s="55"/>
      <c r="C90" s="55"/>
      <c r="D90" s="55"/>
      <c r="E90" s="46" t="s">
        <v>5</v>
      </c>
      <c r="F90" s="30" t="s">
        <v>6</v>
      </c>
      <c r="G90" s="30" t="s">
        <v>7</v>
      </c>
      <c r="H90" s="30" t="s">
        <v>6</v>
      </c>
      <c r="I90" s="30" t="s">
        <v>8</v>
      </c>
      <c r="J90" s="30" t="s">
        <v>6</v>
      </c>
      <c r="K90" s="30" t="s">
        <v>9</v>
      </c>
      <c r="L90" s="30" t="s">
        <v>6</v>
      </c>
      <c r="M90" s="30" t="s">
        <v>10</v>
      </c>
      <c r="N90" s="30" t="s">
        <v>6</v>
      </c>
      <c r="O90" s="30" t="s">
        <v>11</v>
      </c>
      <c r="P90" s="30" t="s">
        <v>6</v>
      </c>
      <c r="Q90" s="30" t="s">
        <v>12</v>
      </c>
      <c r="R90" s="30" t="s">
        <v>6</v>
      </c>
      <c r="S90" s="30" t="s">
        <v>13</v>
      </c>
      <c r="T90" s="50" t="s">
        <v>6</v>
      </c>
    </row>
    <row r="91" spans="1:20" s="45" customFormat="1" ht="196.5" customHeight="1">
      <c r="A91" s="51" t="s">
        <v>795</v>
      </c>
      <c r="B91" s="56">
        <v>3</v>
      </c>
      <c r="C91" s="56">
        <v>5</v>
      </c>
      <c r="D91" s="57">
        <v>23</v>
      </c>
      <c r="E91" s="29" t="s">
        <v>1012</v>
      </c>
      <c r="F91" s="26" t="s">
        <v>19</v>
      </c>
      <c r="G91" s="29" t="s">
        <v>1013</v>
      </c>
      <c r="H91" s="36" t="s">
        <v>990</v>
      </c>
      <c r="I91" s="29" t="s">
        <v>1014</v>
      </c>
      <c r="J91" s="26" t="s">
        <v>416</v>
      </c>
      <c r="K91" s="29" t="s">
        <v>1015</v>
      </c>
      <c r="L91" s="26" t="s">
        <v>19</v>
      </c>
      <c r="M91" s="29" t="s">
        <v>1016</v>
      </c>
      <c r="N91" s="26" t="s">
        <v>19</v>
      </c>
      <c r="O91" s="29" t="s">
        <v>1017</v>
      </c>
      <c r="P91" s="26" t="s">
        <v>19</v>
      </c>
      <c r="Q91" s="29" t="s">
        <v>128</v>
      </c>
      <c r="R91" s="26" t="s">
        <v>19</v>
      </c>
      <c r="S91" s="29"/>
      <c r="T91" s="50"/>
    </row>
    <row r="92" spans="1:20" s="45" customFormat="1">
      <c r="A92" s="55"/>
      <c r="B92" s="55"/>
      <c r="C92" s="55"/>
      <c r="D92" s="55"/>
      <c r="E92" s="93" t="s">
        <v>227</v>
      </c>
      <c r="F92" s="94"/>
      <c r="G92" s="94"/>
      <c r="H92" s="94"/>
      <c r="I92" s="94"/>
      <c r="J92" s="94"/>
      <c r="K92" s="94"/>
      <c r="L92" s="94"/>
      <c r="M92" s="94"/>
      <c r="N92" s="94"/>
      <c r="O92" s="94"/>
      <c r="P92" s="94"/>
      <c r="Q92" s="94"/>
      <c r="R92" s="94"/>
      <c r="S92" s="94"/>
      <c r="T92" s="95"/>
    </row>
    <row r="93" spans="1:20" s="45" customFormat="1">
      <c r="A93" s="55"/>
      <c r="B93" s="55"/>
      <c r="C93" s="55"/>
      <c r="D93" s="55"/>
      <c r="E93" s="46" t="s">
        <v>5</v>
      </c>
      <c r="F93" s="30" t="s">
        <v>6</v>
      </c>
      <c r="G93" s="30" t="s">
        <v>7</v>
      </c>
      <c r="H93" s="30" t="s">
        <v>6</v>
      </c>
      <c r="I93" s="30" t="s">
        <v>8</v>
      </c>
      <c r="J93" s="30" t="s">
        <v>6</v>
      </c>
      <c r="K93" s="30" t="s">
        <v>9</v>
      </c>
      <c r="L93" s="30" t="s">
        <v>6</v>
      </c>
      <c r="M93" s="30" t="s">
        <v>10</v>
      </c>
      <c r="N93" s="30" t="s">
        <v>6</v>
      </c>
      <c r="O93" s="30" t="s">
        <v>11</v>
      </c>
      <c r="P93" s="30" t="s">
        <v>6</v>
      </c>
      <c r="Q93" s="30" t="s">
        <v>12</v>
      </c>
      <c r="R93" s="30" t="s">
        <v>6</v>
      </c>
      <c r="S93" s="30" t="s">
        <v>13</v>
      </c>
      <c r="T93" s="50" t="s">
        <v>6</v>
      </c>
    </row>
    <row r="94" spans="1:20" s="45" customFormat="1" ht="171.6">
      <c r="A94" s="51" t="s">
        <v>795</v>
      </c>
      <c r="B94" s="56">
        <v>3</v>
      </c>
      <c r="C94" s="56">
        <v>5</v>
      </c>
      <c r="D94" s="57">
        <v>24</v>
      </c>
      <c r="E94" s="29" t="s">
        <v>1018</v>
      </c>
      <c r="F94" s="26" t="s">
        <v>19</v>
      </c>
      <c r="G94" s="29" t="s">
        <v>1019</v>
      </c>
      <c r="H94" s="36" t="s">
        <v>990</v>
      </c>
      <c r="I94" s="29" t="s">
        <v>1020</v>
      </c>
      <c r="J94" s="26" t="s">
        <v>416</v>
      </c>
      <c r="K94" s="29" t="s">
        <v>1021</v>
      </c>
      <c r="L94" s="26" t="s">
        <v>19</v>
      </c>
      <c r="M94" s="29" t="s">
        <v>1022</v>
      </c>
      <c r="N94" s="26" t="s">
        <v>19</v>
      </c>
      <c r="O94" s="29" t="s">
        <v>1023</v>
      </c>
      <c r="P94" s="26" t="s">
        <v>19</v>
      </c>
      <c r="Q94" s="29" t="s">
        <v>128</v>
      </c>
      <c r="R94" s="26" t="s">
        <v>19</v>
      </c>
      <c r="S94" s="29"/>
      <c r="T94" s="50"/>
    </row>
    <row r="95" spans="1:20" s="45" customFormat="1">
      <c r="A95" s="55"/>
      <c r="B95" s="55"/>
      <c r="C95" s="55"/>
      <c r="D95" s="55"/>
      <c r="E95" s="93" t="s">
        <v>227</v>
      </c>
      <c r="F95" s="94"/>
      <c r="G95" s="94"/>
      <c r="H95" s="94"/>
      <c r="I95" s="94"/>
      <c r="J95" s="94"/>
      <c r="K95" s="94"/>
      <c r="L95" s="94"/>
      <c r="M95" s="94"/>
      <c r="N95" s="94"/>
      <c r="O95" s="94"/>
      <c r="P95" s="94"/>
      <c r="Q95" s="94"/>
      <c r="R95" s="94"/>
      <c r="S95" s="94"/>
      <c r="T95" s="95"/>
    </row>
    <row r="96" spans="1:20" s="45" customFormat="1">
      <c r="A96" s="55"/>
      <c r="B96" s="55"/>
      <c r="C96" s="55"/>
      <c r="D96" s="55"/>
      <c r="E96" s="46" t="s">
        <v>5</v>
      </c>
      <c r="F96" s="30" t="s">
        <v>6</v>
      </c>
      <c r="G96" s="30" t="s">
        <v>7</v>
      </c>
      <c r="H96" s="30" t="s">
        <v>6</v>
      </c>
      <c r="I96" s="30" t="s">
        <v>8</v>
      </c>
      <c r="J96" s="30" t="s">
        <v>6</v>
      </c>
      <c r="K96" s="30" t="s">
        <v>9</v>
      </c>
      <c r="L96" s="30" t="s">
        <v>6</v>
      </c>
      <c r="M96" s="30" t="s">
        <v>10</v>
      </c>
      <c r="N96" s="30" t="s">
        <v>6</v>
      </c>
      <c r="O96" s="30" t="s">
        <v>11</v>
      </c>
      <c r="P96" s="30" t="s">
        <v>6</v>
      </c>
      <c r="Q96" s="30" t="s">
        <v>12</v>
      </c>
      <c r="R96" s="30" t="s">
        <v>6</v>
      </c>
      <c r="S96" s="30" t="s">
        <v>13</v>
      </c>
      <c r="T96" s="50" t="s">
        <v>6</v>
      </c>
    </row>
    <row r="97" spans="1:20" s="45" customFormat="1" ht="179.25" customHeight="1">
      <c r="A97" s="51" t="s">
        <v>795</v>
      </c>
      <c r="B97" s="56">
        <v>3</v>
      </c>
      <c r="C97" s="56">
        <v>5</v>
      </c>
      <c r="D97" s="57">
        <v>25</v>
      </c>
      <c r="E97" s="29" t="s">
        <v>1024</v>
      </c>
      <c r="F97" s="26" t="s">
        <v>19</v>
      </c>
      <c r="G97" s="29" t="s">
        <v>1025</v>
      </c>
      <c r="H97" s="36" t="s">
        <v>990</v>
      </c>
      <c r="I97" s="29" t="s">
        <v>1026</v>
      </c>
      <c r="J97" s="26" t="s">
        <v>416</v>
      </c>
      <c r="K97" s="29" t="s">
        <v>1027</v>
      </c>
      <c r="L97" s="26" t="s">
        <v>19</v>
      </c>
      <c r="M97" s="29" t="s">
        <v>1028</v>
      </c>
      <c r="N97" s="26" t="s">
        <v>19</v>
      </c>
      <c r="O97" s="29" t="s">
        <v>1029</v>
      </c>
      <c r="P97" s="26" t="s">
        <v>19</v>
      </c>
      <c r="Q97" s="29" t="s">
        <v>128</v>
      </c>
      <c r="R97" s="26" t="s">
        <v>19</v>
      </c>
      <c r="S97" s="29"/>
      <c r="T97" s="50"/>
    </row>
    <row r="98" spans="1:20" s="45" customFormat="1">
      <c r="A98" s="55"/>
      <c r="B98" s="55"/>
      <c r="C98" s="55"/>
      <c r="D98" s="55"/>
      <c r="E98" s="93" t="s">
        <v>276</v>
      </c>
      <c r="F98" s="94"/>
      <c r="G98" s="94"/>
      <c r="H98" s="94"/>
      <c r="I98" s="94"/>
      <c r="J98" s="94"/>
      <c r="K98" s="94"/>
      <c r="L98" s="94"/>
      <c r="M98" s="94"/>
      <c r="N98" s="94"/>
      <c r="O98" s="94"/>
      <c r="P98" s="94"/>
      <c r="Q98" s="94"/>
      <c r="R98" s="94"/>
      <c r="S98" s="94"/>
      <c r="T98" s="95"/>
    </row>
    <row r="99" spans="1:20" s="45" customFormat="1">
      <c r="A99" s="55"/>
      <c r="B99" s="55"/>
      <c r="C99" s="55"/>
      <c r="D99" s="55"/>
      <c r="E99" s="46" t="s">
        <v>5</v>
      </c>
      <c r="F99" s="30" t="s">
        <v>6</v>
      </c>
      <c r="G99" s="30" t="s">
        <v>7</v>
      </c>
      <c r="H99" s="30" t="s">
        <v>6</v>
      </c>
      <c r="I99" s="30" t="s">
        <v>8</v>
      </c>
      <c r="J99" s="30" t="s">
        <v>6</v>
      </c>
      <c r="K99" s="30" t="s">
        <v>9</v>
      </c>
      <c r="L99" s="30" t="s">
        <v>6</v>
      </c>
      <c r="M99" s="30" t="s">
        <v>10</v>
      </c>
      <c r="N99" s="30" t="s">
        <v>6</v>
      </c>
      <c r="O99" s="30" t="s">
        <v>11</v>
      </c>
      <c r="P99" s="30" t="s">
        <v>6</v>
      </c>
      <c r="Q99" s="30" t="s">
        <v>12</v>
      </c>
      <c r="R99" s="30" t="s">
        <v>6</v>
      </c>
      <c r="S99" s="30" t="s">
        <v>13</v>
      </c>
      <c r="T99" s="50" t="s">
        <v>6</v>
      </c>
    </row>
    <row r="100" spans="1:20" s="45" customFormat="1" ht="184.9">
      <c r="A100" s="51" t="s">
        <v>795</v>
      </c>
      <c r="B100" s="56">
        <v>3</v>
      </c>
      <c r="C100" s="56">
        <v>6</v>
      </c>
      <c r="D100" s="57">
        <v>2</v>
      </c>
      <c r="E100" s="29" t="s">
        <v>1030</v>
      </c>
      <c r="F100" s="26"/>
      <c r="G100" s="29" t="s">
        <v>295</v>
      </c>
      <c r="H100" s="26"/>
      <c r="I100" s="29" t="s">
        <v>1031</v>
      </c>
      <c r="J100" s="26"/>
      <c r="K100" s="29" t="s">
        <v>1032</v>
      </c>
      <c r="L100" s="26" t="s">
        <v>1033</v>
      </c>
      <c r="M100" s="29" t="s">
        <v>1034</v>
      </c>
      <c r="N100" s="26" t="s">
        <v>1035</v>
      </c>
      <c r="O100" s="29" t="s">
        <v>1036</v>
      </c>
      <c r="P100" s="36" t="s">
        <v>1037</v>
      </c>
      <c r="Q100" s="29" t="s">
        <v>1038</v>
      </c>
      <c r="R100" s="36" t="s">
        <v>1039</v>
      </c>
      <c r="S100" s="29"/>
      <c r="T100" s="50"/>
    </row>
    <row r="101" spans="1:20" s="45" customFormat="1">
      <c r="A101" s="55"/>
      <c r="B101" s="55"/>
      <c r="C101" s="55"/>
      <c r="D101" s="55"/>
      <c r="E101" s="93" t="s">
        <v>276</v>
      </c>
      <c r="F101" s="94"/>
      <c r="G101" s="94"/>
      <c r="H101" s="94"/>
      <c r="I101" s="94"/>
      <c r="J101" s="94"/>
      <c r="K101" s="94"/>
      <c r="L101" s="94"/>
      <c r="M101" s="94"/>
      <c r="N101" s="94"/>
      <c r="O101" s="94"/>
      <c r="P101" s="94"/>
      <c r="Q101" s="94"/>
      <c r="R101" s="94"/>
      <c r="S101" s="94"/>
      <c r="T101" s="95"/>
    </row>
    <row r="102" spans="1:20" s="45" customFormat="1">
      <c r="A102" s="55"/>
      <c r="B102" s="55"/>
      <c r="C102" s="55"/>
      <c r="D102" s="55"/>
      <c r="E102" s="46" t="s">
        <v>5</v>
      </c>
      <c r="F102" s="30" t="s">
        <v>6</v>
      </c>
      <c r="G102" s="30" t="s">
        <v>7</v>
      </c>
      <c r="H102" s="30" t="s">
        <v>6</v>
      </c>
      <c r="I102" s="30" t="s">
        <v>8</v>
      </c>
      <c r="J102" s="30" t="s">
        <v>6</v>
      </c>
      <c r="K102" s="30" t="s">
        <v>9</v>
      </c>
      <c r="L102" s="30" t="s">
        <v>6</v>
      </c>
      <c r="M102" s="30" t="s">
        <v>10</v>
      </c>
      <c r="N102" s="30" t="s">
        <v>6</v>
      </c>
      <c r="O102" s="30" t="s">
        <v>11</v>
      </c>
      <c r="P102" s="30" t="s">
        <v>6</v>
      </c>
      <c r="Q102" s="30" t="s">
        <v>12</v>
      </c>
      <c r="R102" s="30" t="s">
        <v>6</v>
      </c>
      <c r="S102" s="30" t="s">
        <v>13</v>
      </c>
      <c r="T102" s="50" t="s">
        <v>6</v>
      </c>
    </row>
    <row r="103" spans="1:20" s="45" customFormat="1" ht="224.45">
      <c r="A103" s="51" t="s">
        <v>795</v>
      </c>
      <c r="B103" s="56">
        <v>3</v>
      </c>
      <c r="C103" s="56">
        <v>6</v>
      </c>
      <c r="D103" s="57">
        <v>7</v>
      </c>
      <c r="E103" s="29" t="s">
        <v>1040</v>
      </c>
      <c r="F103" s="26"/>
      <c r="G103" s="29" t="s">
        <v>295</v>
      </c>
      <c r="H103" s="26"/>
      <c r="I103" s="29" t="s">
        <v>1031</v>
      </c>
      <c r="J103" s="26"/>
      <c r="K103" s="29" t="s">
        <v>1041</v>
      </c>
      <c r="L103" s="26" t="s">
        <v>1033</v>
      </c>
      <c r="M103" s="29" t="s">
        <v>1042</v>
      </c>
      <c r="N103" s="26" t="s">
        <v>1035</v>
      </c>
      <c r="O103" s="29" t="s">
        <v>1043</v>
      </c>
      <c r="P103" s="36" t="s">
        <v>1037</v>
      </c>
      <c r="Q103" s="29" t="s">
        <v>1044</v>
      </c>
      <c r="R103" s="36" t="s">
        <v>1045</v>
      </c>
      <c r="S103" s="29"/>
      <c r="T103" s="50"/>
    </row>
    <row r="104" spans="1:20" s="45" customFormat="1">
      <c r="A104" s="55"/>
      <c r="B104" s="55"/>
      <c r="C104" s="55"/>
      <c r="D104" s="55"/>
      <c r="E104" s="93" t="s">
        <v>276</v>
      </c>
      <c r="F104" s="94"/>
      <c r="G104" s="94"/>
      <c r="H104" s="94"/>
      <c r="I104" s="94"/>
      <c r="J104" s="94"/>
      <c r="K104" s="94"/>
      <c r="L104" s="94"/>
      <c r="M104" s="94"/>
      <c r="N104" s="94"/>
      <c r="O104" s="94"/>
      <c r="P104" s="94"/>
      <c r="Q104" s="94"/>
      <c r="R104" s="94"/>
      <c r="S104" s="94"/>
      <c r="T104" s="95"/>
    </row>
    <row r="105" spans="1:20" s="45" customFormat="1">
      <c r="A105" s="55"/>
      <c r="B105" s="55"/>
      <c r="C105" s="55"/>
      <c r="D105" s="55"/>
      <c r="E105" s="46" t="s">
        <v>5</v>
      </c>
      <c r="F105" s="30" t="s">
        <v>6</v>
      </c>
      <c r="G105" s="30" t="s">
        <v>7</v>
      </c>
      <c r="H105" s="30" t="s">
        <v>6</v>
      </c>
      <c r="I105" s="30" t="s">
        <v>8</v>
      </c>
      <c r="J105" s="30" t="s">
        <v>6</v>
      </c>
      <c r="K105" s="30" t="s">
        <v>9</v>
      </c>
      <c r="L105" s="30" t="s">
        <v>6</v>
      </c>
      <c r="M105" s="30" t="s">
        <v>10</v>
      </c>
      <c r="N105" s="30" t="s">
        <v>6</v>
      </c>
      <c r="O105" s="30" t="s">
        <v>11</v>
      </c>
      <c r="P105" s="30" t="s">
        <v>6</v>
      </c>
      <c r="Q105" s="30" t="s">
        <v>12</v>
      </c>
      <c r="R105" s="30" t="s">
        <v>6</v>
      </c>
      <c r="S105" s="30" t="s">
        <v>13</v>
      </c>
      <c r="T105" s="50" t="s">
        <v>6</v>
      </c>
    </row>
    <row r="106" spans="1:20" s="45" customFormat="1" ht="198">
      <c r="A106" s="51" t="s">
        <v>795</v>
      </c>
      <c r="B106" s="56">
        <v>3</v>
      </c>
      <c r="C106" s="56">
        <v>6</v>
      </c>
      <c r="D106" s="57">
        <v>12</v>
      </c>
      <c r="E106" s="29" t="s">
        <v>1046</v>
      </c>
      <c r="F106" s="26"/>
      <c r="G106" s="29" t="s">
        <v>295</v>
      </c>
      <c r="H106" s="26"/>
      <c r="I106" s="29" t="s">
        <v>1031</v>
      </c>
      <c r="J106" s="26"/>
      <c r="K106" s="29" t="s">
        <v>1047</v>
      </c>
      <c r="L106" s="26" t="s">
        <v>1033</v>
      </c>
      <c r="M106" s="29" t="s">
        <v>1048</v>
      </c>
      <c r="N106" s="26" t="s">
        <v>1035</v>
      </c>
      <c r="O106" s="29" t="s">
        <v>1049</v>
      </c>
      <c r="P106" s="36" t="s">
        <v>1037</v>
      </c>
      <c r="Q106" s="29" t="s">
        <v>1050</v>
      </c>
      <c r="R106" s="26"/>
      <c r="S106" s="29"/>
      <c r="T106" s="50"/>
    </row>
    <row r="107" spans="1:20" s="45" customFormat="1">
      <c r="A107" s="55"/>
      <c r="B107" s="55"/>
      <c r="C107" s="55"/>
      <c r="D107" s="55"/>
      <c r="E107" s="93" t="s">
        <v>276</v>
      </c>
      <c r="F107" s="94"/>
      <c r="G107" s="94"/>
      <c r="H107" s="94"/>
      <c r="I107" s="94"/>
      <c r="J107" s="94"/>
      <c r="K107" s="94"/>
      <c r="L107" s="94"/>
      <c r="M107" s="94"/>
      <c r="N107" s="94"/>
      <c r="O107" s="94"/>
      <c r="P107" s="94"/>
      <c r="Q107" s="94"/>
      <c r="R107" s="94"/>
      <c r="S107" s="94"/>
      <c r="T107" s="95"/>
    </row>
    <row r="108" spans="1:20" s="45" customFormat="1">
      <c r="A108" s="55"/>
      <c r="B108" s="55"/>
      <c r="C108" s="55"/>
      <c r="D108" s="55"/>
      <c r="E108" s="46" t="s">
        <v>5</v>
      </c>
      <c r="F108" s="30" t="s">
        <v>6</v>
      </c>
      <c r="G108" s="30" t="s">
        <v>7</v>
      </c>
      <c r="H108" s="30" t="s">
        <v>6</v>
      </c>
      <c r="I108" s="30" t="s">
        <v>8</v>
      </c>
      <c r="J108" s="30" t="s">
        <v>6</v>
      </c>
      <c r="K108" s="30" t="s">
        <v>9</v>
      </c>
      <c r="L108" s="30" t="s">
        <v>6</v>
      </c>
      <c r="M108" s="30" t="s">
        <v>10</v>
      </c>
      <c r="N108" s="30" t="s">
        <v>6</v>
      </c>
      <c r="O108" s="30" t="s">
        <v>11</v>
      </c>
      <c r="P108" s="30" t="s">
        <v>6</v>
      </c>
      <c r="Q108" s="30" t="s">
        <v>12</v>
      </c>
      <c r="R108" s="30" t="s">
        <v>6</v>
      </c>
      <c r="S108" s="30" t="s">
        <v>13</v>
      </c>
      <c r="T108" s="50" t="s">
        <v>6</v>
      </c>
    </row>
    <row r="109" spans="1:20" s="45" customFormat="1" ht="198">
      <c r="A109" s="51" t="s">
        <v>795</v>
      </c>
      <c r="B109" s="56">
        <v>3</v>
      </c>
      <c r="C109" s="56">
        <v>6</v>
      </c>
      <c r="D109" s="57">
        <v>17</v>
      </c>
      <c r="E109" s="29" t="s">
        <v>1051</v>
      </c>
      <c r="F109" s="26"/>
      <c r="G109" s="29" t="s">
        <v>1052</v>
      </c>
      <c r="H109" s="26"/>
      <c r="I109" s="29" t="s">
        <v>1031</v>
      </c>
      <c r="J109" s="26"/>
      <c r="K109" s="29" t="s">
        <v>1053</v>
      </c>
      <c r="L109" s="26" t="s">
        <v>1033</v>
      </c>
      <c r="M109" s="29" t="s">
        <v>1054</v>
      </c>
      <c r="N109" s="26" t="s">
        <v>1035</v>
      </c>
      <c r="O109" s="29" t="s">
        <v>1055</v>
      </c>
      <c r="P109" s="36" t="s">
        <v>1037</v>
      </c>
      <c r="Q109" s="29" t="s">
        <v>1056</v>
      </c>
      <c r="R109" s="26"/>
      <c r="S109" s="29"/>
      <c r="T109" s="50"/>
    </row>
    <row r="110" spans="1:20" s="45" customFormat="1">
      <c r="A110" s="55"/>
      <c r="B110" s="55"/>
      <c r="C110" s="55"/>
      <c r="D110" s="55"/>
      <c r="E110" s="93" t="s">
        <v>276</v>
      </c>
      <c r="F110" s="94"/>
      <c r="G110" s="94"/>
      <c r="H110" s="94"/>
      <c r="I110" s="94"/>
      <c r="J110" s="94"/>
      <c r="K110" s="94"/>
      <c r="L110" s="94"/>
      <c r="M110" s="94"/>
      <c r="N110" s="94"/>
      <c r="O110" s="94"/>
      <c r="P110" s="94"/>
      <c r="Q110" s="94"/>
      <c r="R110" s="94"/>
      <c r="S110" s="94"/>
      <c r="T110" s="95"/>
    </row>
    <row r="111" spans="1:20" s="45" customFormat="1">
      <c r="A111" s="55"/>
      <c r="B111" s="55"/>
      <c r="C111" s="55"/>
      <c r="D111" s="55"/>
      <c r="E111" s="46" t="s">
        <v>5</v>
      </c>
      <c r="F111" s="30" t="s">
        <v>6</v>
      </c>
      <c r="G111" s="30" t="s">
        <v>7</v>
      </c>
      <c r="H111" s="30" t="s">
        <v>6</v>
      </c>
      <c r="I111" s="30" t="s">
        <v>8</v>
      </c>
      <c r="J111" s="30" t="s">
        <v>6</v>
      </c>
      <c r="K111" s="30" t="s">
        <v>9</v>
      </c>
      <c r="L111" s="30" t="s">
        <v>6</v>
      </c>
      <c r="M111" s="30" t="s">
        <v>10</v>
      </c>
      <c r="N111" s="30" t="s">
        <v>6</v>
      </c>
      <c r="O111" s="30" t="s">
        <v>11</v>
      </c>
      <c r="P111" s="30" t="s">
        <v>6</v>
      </c>
      <c r="Q111" s="30" t="s">
        <v>12</v>
      </c>
      <c r="R111" s="30" t="s">
        <v>6</v>
      </c>
      <c r="S111" s="30" t="s">
        <v>13</v>
      </c>
      <c r="T111" s="50" t="s">
        <v>6</v>
      </c>
    </row>
    <row r="112" spans="1:20" s="45" customFormat="1" ht="184.9">
      <c r="A112" s="51" t="s">
        <v>795</v>
      </c>
      <c r="B112" s="56">
        <v>3</v>
      </c>
      <c r="C112" s="56">
        <v>6</v>
      </c>
      <c r="D112" s="57">
        <v>20</v>
      </c>
      <c r="E112" s="29" t="s">
        <v>1057</v>
      </c>
      <c r="F112" s="26"/>
      <c r="G112" s="29" t="s">
        <v>295</v>
      </c>
      <c r="H112" s="26"/>
      <c r="I112" s="29" t="s">
        <v>1031</v>
      </c>
      <c r="J112" s="26"/>
      <c r="K112" s="29" t="s">
        <v>1058</v>
      </c>
      <c r="L112" s="36" t="s">
        <v>1059</v>
      </c>
      <c r="M112" s="29" t="s">
        <v>1060</v>
      </c>
      <c r="N112" s="26" t="s">
        <v>1035</v>
      </c>
      <c r="O112" s="29" t="s">
        <v>1061</v>
      </c>
      <c r="P112" s="36" t="s">
        <v>1037</v>
      </c>
      <c r="Q112" s="29" t="s">
        <v>1062</v>
      </c>
      <c r="R112" s="26"/>
      <c r="S112" s="29"/>
      <c r="T112" s="50"/>
    </row>
    <row r="113" spans="1:20" s="45" customFormat="1">
      <c r="A113" s="55"/>
      <c r="B113" s="55"/>
      <c r="C113" s="55"/>
      <c r="D113" s="55"/>
      <c r="E113" s="93" t="s">
        <v>276</v>
      </c>
      <c r="F113" s="94"/>
      <c r="G113" s="94"/>
      <c r="H113" s="94"/>
      <c r="I113" s="94"/>
      <c r="J113" s="94"/>
      <c r="K113" s="94"/>
      <c r="L113" s="94"/>
      <c r="M113" s="94"/>
      <c r="N113" s="94"/>
      <c r="O113" s="94"/>
      <c r="P113" s="94"/>
      <c r="Q113" s="94"/>
      <c r="R113" s="94"/>
      <c r="S113" s="94"/>
      <c r="T113" s="95"/>
    </row>
    <row r="114" spans="1:20" s="45" customFormat="1">
      <c r="A114" s="55"/>
      <c r="B114" s="55"/>
      <c r="C114" s="55"/>
      <c r="D114" s="55"/>
      <c r="E114" s="46" t="s">
        <v>5</v>
      </c>
      <c r="F114" s="30" t="s">
        <v>6</v>
      </c>
      <c r="G114" s="30" t="s">
        <v>7</v>
      </c>
      <c r="H114" s="30" t="s">
        <v>6</v>
      </c>
      <c r="I114" s="30" t="s">
        <v>8</v>
      </c>
      <c r="J114" s="30" t="s">
        <v>6</v>
      </c>
      <c r="K114" s="30" t="s">
        <v>9</v>
      </c>
      <c r="L114" s="30" t="s">
        <v>6</v>
      </c>
      <c r="M114" s="30" t="s">
        <v>10</v>
      </c>
      <c r="N114" s="30" t="s">
        <v>6</v>
      </c>
      <c r="O114" s="30" t="s">
        <v>11</v>
      </c>
      <c r="P114" s="30" t="s">
        <v>6</v>
      </c>
      <c r="Q114" s="30" t="s">
        <v>12</v>
      </c>
      <c r="R114" s="30" t="s">
        <v>6</v>
      </c>
      <c r="S114" s="30" t="s">
        <v>13</v>
      </c>
      <c r="T114" s="50" t="s">
        <v>6</v>
      </c>
    </row>
    <row r="115" spans="1:20" s="45" customFormat="1" ht="158.44999999999999">
      <c r="A115" s="51" t="s">
        <v>795</v>
      </c>
      <c r="B115" s="56">
        <v>3</v>
      </c>
      <c r="C115" s="56">
        <v>6</v>
      </c>
      <c r="D115" s="57">
        <v>26</v>
      </c>
      <c r="E115" s="29" t="s">
        <v>1063</v>
      </c>
      <c r="F115" s="26"/>
      <c r="G115" s="29" t="s">
        <v>295</v>
      </c>
      <c r="H115" s="26"/>
      <c r="I115" s="29" t="s">
        <v>1031</v>
      </c>
      <c r="J115" s="26"/>
      <c r="K115" s="29" t="s">
        <v>1064</v>
      </c>
      <c r="L115" s="26" t="s">
        <v>1033</v>
      </c>
      <c r="M115" s="29" t="s">
        <v>1065</v>
      </c>
      <c r="N115" s="26" t="s">
        <v>1035</v>
      </c>
      <c r="O115" s="29" t="s">
        <v>1066</v>
      </c>
      <c r="P115" s="36" t="s">
        <v>1037</v>
      </c>
      <c r="Q115" s="29" t="s">
        <v>1067</v>
      </c>
      <c r="R115" s="36" t="s">
        <v>1068</v>
      </c>
      <c r="S115" s="29"/>
      <c r="T115" s="50"/>
    </row>
    <row r="116" spans="1:20" s="45" customFormat="1">
      <c r="A116" s="55"/>
      <c r="B116" s="55"/>
      <c r="C116" s="55"/>
      <c r="D116" s="55"/>
      <c r="E116" s="93" t="s">
        <v>276</v>
      </c>
      <c r="F116" s="94"/>
      <c r="G116" s="94"/>
      <c r="H116" s="94"/>
      <c r="I116" s="94"/>
      <c r="J116" s="94"/>
      <c r="K116" s="94"/>
      <c r="L116" s="94"/>
      <c r="M116" s="94"/>
      <c r="N116" s="94"/>
      <c r="O116" s="94"/>
      <c r="P116" s="94"/>
      <c r="Q116" s="94"/>
      <c r="R116" s="94"/>
      <c r="S116" s="94"/>
      <c r="T116" s="95"/>
    </row>
    <row r="117" spans="1:20" s="45" customFormat="1">
      <c r="A117" s="55"/>
      <c r="B117" s="55"/>
      <c r="C117" s="55"/>
      <c r="D117" s="55"/>
      <c r="E117" s="46" t="s">
        <v>5</v>
      </c>
      <c r="F117" s="30" t="s">
        <v>6</v>
      </c>
      <c r="G117" s="30" t="s">
        <v>7</v>
      </c>
      <c r="H117" s="30" t="s">
        <v>6</v>
      </c>
      <c r="I117" s="30" t="s">
        <v>8</v>
      </c>
      <c r="J117" s="30" t="s">
        <v>6</v>
      </c>
      <c r="K117" s="30" t="s">
        <v>9</v>
      </c>
      <c r="L117" s="30" t="s">
        <v>6</v>
      </c>
      <c r="M117" s="30" t="s">
        <v>10</v>
      </c>
      <c r="N117" s="30" t="s">
        <v>6</v>
      </c>
      <c r="O117" s="30" t="s">
        <v>11</v>
      </c>
      <c r="P117" s="30" t="s">
        <v>6</v>
      </c>
      <c r="Q117" s="30" t="s">
        <v>12</v>
      </c>
      <c r="R117" s="30" t="s">
        <v>6</v>
      </c>
      <c r="S117" s="30" t="s">
        <v>13</v>
      </c>
      <c r="T117" s="50" t="s">
        <v>6</v>
      </c>
    </row>
    <row r="118" spans="1:20" s="45" customFormat="1" ht="211.15">
      <c r="A118" s="51" t="s">
        <v>795</v>
      </c>
      <c r="B118" s="56">
        <v>3</v>
      </c>
      <c r="C118" s="56">
        <v>6</v>
      </c>
      <c r="D118" s="57">
        <v>27</v>
      </c>
      <c r="E118" s="29" t="s">
        <v>1069</v>
      </c>
      <c r="F118" s="26"/>
      <c r="G118" s="29" t="s">
        <v>295</v>
      </c>
      <c r="H118" s="26"/>
      <c r="I118" s="29" t="s">
        <v>1031</v>
      </c>
      <c r="J118" s="26"/>
      <c r="K118" s="29" t="s">
        <v>1070</v>
      </c>
      <c r="L118" s="26" t="s">
        <v>1033</v>
      </c>
      <c r="M118" s="29" t="s">
        <v>1071</v>
      </c>
      <c r="N118" s="26" t="s">
        <v>1035</v>
      </c>
      <c r="O118" s="29" t="s">
        <v>1072</v>
      </c>
      <c r="P118" s="36" t="s">
        <v>1037</v>
      </c>
      <c r="Q118" s="29" t="s">
        <v>1073</v>
      </c>
      <c r="R118" s="36" t="s">
        <v>1074</v>
      </c>
      <c r="S118" s="29"/>
      <c r="T118" s="50"/>
    </row>
    <row r="119" spans="1:20" s="45" customFormat="1">
      <c r="A119" s="55"/>
      <c r="B119" s="55"/>
      <c r="C119" s="55"/>
      <c r="D119" s="55"/>
      <c r="E119" s="93" t="s">
        <v>326</v>
      </c>
      <c r="F119" s="94"/>
      <c r="G119" s="94"/>
      <c r="H119" s="94"/>
      <c r="I119" s="94"/>
      <c r="J119" s="94"/>
      <c r="K119" s="94"/>
      <c r="L119" s="94"/>
      <c r="M119" s="94"/>
      <c r="N119" s="94"/>
      <c r="O119" s="94"/>
      <c r="P119" s="94"/>
      <c r="Q119" s="94"/>
      <c r="R119" s="94"/>
      <c r="S119" s="94"/>
      <c r="T119" s="95"/>
    </row>
    <row r="120" spans="1:20" s="45" customFormat="1">
      <c r="A120" s="55"/>
      <c r="B120" s="55"/>
      <c r="C120" s="55"/>
      <c r="D120" s="55"/>
      <c r="E120" s="46" t="s">
        <v>5</v>
      </c>
      <c r="F120" s="30" t="s">
        <v>6</v>
      </c>
      <c r="G120" s="30" t="s">
        <v>7</v>
      </c>
      <c r="H120" s="30" t="s">
        <v>6</v>
      </c>
      <c r="I120" s="30" t="s">
        <v>8</v>
      </c>
      <c r="J120" s="30" t="s">
        <v>6</v>
      </c>
      <c r="K120" s="30" t="s">
        <v>9</v>
      </c>
      <c r="L120" s="30" t="s">
        <v>6</v>
      </c>
      <c r="M120" s="30" t="s">
        <v>10</v>
      </c>
      <c r="N120" s="30" t="s">
        <v>6</v>
      </c>
      <c r="O120" s="30" t="s">
        <v>11</v>
      </c>
      <c r="P120" s="30" t="s">
        <v>6</v>
      </c>
      <c r="Q120" s="30" t="s">
        <v>12</v>
      </c>
      <c r="R120" s="30" t="s">
        <v>6</v>
      </c>
      <c r="S120" s="30" t="s">
        <v>13</v>
      </c>
      <c r="T120" s="50" t="s">
        <v>6</v>
      </c>
    </row>
    <row r="121" spans="1:20" s="45" customFormat="1" ht="318" customHeight="1">
      <c r="A121" s="51" t="s">
        <v>795</v>
      </c>
      <c r="B121" s="56">
        <v>3</v>
      </c>
      <c r="C121" s="56">
        <v>7</v>
      </c>
      <c r="D121" s="57">
        <v>3</v>
      </c>
      <c r="E121" s="29" t="s">
        <v>1075</v>
      </c>
      <c r="F121" s="26" t="s">
        <v>1076</v>
      </c>
      <c r="G121" s="29" t="s">
        <v>1077</v>
      </c>
      <c r="H121" s="36" t="s">
        <v>1078</v>
      </c>
      <c r="I121" s="29" t="s">
        <v>1079</v>
      </c>
      <c r="J121" s="63" t="s">
        <v>19</v>
      </c>
      <c r="K121" s="29" t="s">
        <v>1080</v>
      </c>
      <c r="L121" s="36" t="s">
        <v>1081</v>
      </c>
      <c r="M121" s="29" t="s">
        <v>1082</v>
      </c>
      <c r="N121" s="36" t="s">
        <v>1083</v>
      </c>
      <c r="O121" s="29" t="s">
        <v>1084</v>
      </c>
      <c r="P121" s="36" t="s">
        <v>1085</v>
      </c>
      <c r="Q121" s="29" t="s">
        <v>1086</v>
      </c>
      <c r="R121" s="34" t="s">
        <v>1087</v>
      </c>
      <c r="S121" s="29"/>
      <c r="T121" s="50"/>
    </row>
    <row r="122" spans="1:20" s="45" customFormat="1">
      <c r="A122" s="55"/>
      <c r="B122" s="55"/>
      <c r="C122" s="55"/>
      <c r="D122" s="55"/>
      <c r="E122" s="93" t="s">
        <v>326</v>
      </c>
      <c r="F122" s="94"/>
      <c r="G122" s="94"/>
      <c r="H122" s="94"/>
      <c r="I122" s="94"/>
      <c r="J122" s="94"/>
      <c r="K122" s="94"/>
      <c r="L122" s="94"/>
      <c r="M122" s="94"/>
      <c r="N122" s="94"/>
      <c r="O122" s="94"/>
      <c r="P122" s="94"/>
      <c r="Q122" s="94"/>
      <c r="R122" s="94"/>
      <c r="S122" s="94"/>
      <c r="T122" s="95"/>
    </row>
    <row r="123" spans="1:20" s="45" customFormat="1">
      <c r="A123" s="55"/>
      <c r="B123" s="55"/>
      <c r="C123" s="55"/>
      <c r="D123" s="55"/>
      <c r="E123" s="46" t="s">
        <v>5</v>
      </c>
      <c r="F123" s="30" t="s">
        <v>6</v>
      </c>
      <c r="G123" s="30" t="s">
        <v>7</v>
      </c>
      <c r="H123" s="30" t="s">
        <v>6</v>
      </c>
      <c r="I123" s="30" t="s">
        <v>8</v>
      </c>
      <c r="J123" s="30" t="s">
        <v>6</v>
      </c>
      <c r="K123" s="30" t="s">
        <v>9</v>
      </c>
      <c r="L123" s="30" t="s">
        <v>6</v>
      </c>
      <c r="M123" s="30" t="s">
        <v>10</v>
      </c>
      <c r="N123" s="30" t="s">
        <v>6</v>
      </c>
      <c r="O123" s="30" t="s">
        <v>11</v>
      </c>
      <c r="P123" s="30" t="s">
        <v>6</v>
      </c>
      <c r="Q123" s="30" t="s">
        <v>12</v>
      </c>
      <c r="R123" s="30" t="s">
        <v>6</v>
      </c>
      <c r="S123" s="30" t="s">
        <v>13</v>
      </c>
      <c r="T123" s="50" t="s">
        <v>6</v>
      </c>
    </row>
    <row r="124" spans="1:20" s="45" customFormat="1" ht="297.75" customHeight="1">
      <c r="A124" s="51" t="s">
        <v>795</v>
      </c>
      <c r="B124" s="56">
        <v>3</v>
      </c>
      <c r="C124" s="56">
        <v>7</v>
      </c>
      <c r="D124" s="57">
        <v>5</v>
      </c>
      <c r="E124" s="29" t="s">
        <v>1088</v>
      </c>
      <c r="F124" s="63" t="s">
        <v>19</v>
      </c>
      <c r="G124" s="29" t="s">
        <v>1089</v>
      </c>
      <c r="H124" s="63" t="s">
        <v>19</v>
      </c>
      <c r="I124" s="29" t="s">
        <v>1079</v>
      </c>
      <c r="J124" s="63" t="s">
        <v>19</v>
      </c>
      <c r="K124" s="29" t="s">
        <v>1090</v>
      </c>
      <c r="L124" s="63" t="s">
        <v>19</v>
      </c>
      <c r="M124" s="29" t="s">
        <v>1091</v>
      </c>
      <c r="N124" s="63" t="s">
        <v>19</v>
      </c>
      <c r="O124" s="29" t="s">
        <v>1092</v>
      </c>
      <c r="P124" s="63" t="s">
        <v>19</v>
      </c>
      <c r="Q124" s="29" t="s">
        <v>1093</v>
      </c>
      <c r="R124" s="34" t="s">
        <v>1094</v>
      </c>
      <c r="S124" s="29"/>
      <c r="T124" s="50"/>
    </row>
    <row r="125" spans="1:20" s="45" customFormat="1">
      <c r="A125" s="55"/>
      <c r="B125" s="55"/>
      <c r="C125" s="55"/>
      <c r="D125" s="55"/>
      <c r="E125" s="93" t="s">
        <v>326</v>
      </c>
      <c r="F125" s="94"/>
      <c r="G125" s="94"/>
      <c r="H125" s="94"/>
      <c r="I125" s="94"/>
      <c r="J125" s="94"/>
      <c r="K125" s="94"/>
      <c r="L125" s="94"/>
      <c r="M125" s="94"/>
      <c r="N125" s="94"/>
      <c r="O125" s="94"/>
      <c r="P125" s="94"/>
      <c r="Q125" s="94"/>
      <c r="R125" s="94"/>
      <c r="S125" s="94"/>
      <c r="T125" s="95"/>
    </row>
    <row r="126" spans="1:20" s="45" customFormat="1">
      <c r="A126" s="55"/>
      <c r="B126" s="55"/>
      <c r="C126" s="55"/>
      <c r="D126" s="55"/>
      <c r="E126" s="46" t="s">
        <v>5</v>
      </c>
      <c r="F126" s="30" t="s">
        <v>6</v>
      </c>
      <c r="G126" s="30" t="s">
        <v>7</v>
      </c>
      <c r="H126" s="30" t="s">
        <v>6</v>
      </c>
      <c r="I126" s="30" t="s">
        <v>8</v>
      </c>
      <c r="J126" s="30" t="s">
        <v>6</v>
      </c>
      <c r="K126" s="30" t="s">
        <v>9</v>
      </c>
      <c r="L126" s="30" t="s">
        <v>6</v>
      </c>
      <c r="M126" s="30" t="s">
        <v>10</v>
      </c>
      <c r="N126" s="30" t="s">
        <v>6</v>
      </c>
      <c r="O126" s="30" t="s">
        <v>11</v>
      </c>
      <c r="P126" s="30" t="s">
        <v>6</v>
      </c>
      <c r="Q126" s="30" t="s">
        <v>12</v>
      </c>
      <c r="R126" s="30" t="s">
        <v>6</v>
      </c>
      <c r="S126" s="30" t="s">
        <v>13</v>
      </c>
      <c r="T126" s="50" t="s">
        <v>6</v>
      </c>
    </row>
    <row r="127" spans="1:20" s="45" customFormat="1" ht="233.25" customHeight="1">
      <c r="A127" s="51" t="s">
        <v>795</v>
      </c>
      <c r="B127" s="56">
        <v>3</v>
      </c>
      <c r="C127" s="56">
        <v>7</v>
      </c>
      <c r="D127" s="57">
        <v>13</v>
      </c>
      <c r="E127" s="29" t="s">
        <v>1095</v>
      </c>
      <c r="F127" s="26" t="s">
        <v>1096</v>
      </c>
      <c r="G127" s="29" t="s">
        <v>1097</v>
      </c>
      <c r="H127" s="36" t="s">
        <v>1098</v>
      </c>
      <c r="I127" s="29" t="s">
        <v>1079</v>
      </c>
      <c r="J127" s="63" t="s">
        <v>19</v>
      </c>
      <c r="K127" s="29" t="s">
        <v>1099</v>
      </c>
      <c r="L127" s="36" t="s">
        <v>1100</v>
      </c>
      <c r="M127" s="29" t="s">
        <v>1101</v>
      </c>
      <c r="N127" s="63" t="s">
        <v>19</v>
      </c>
      <c r="O127" s="29" t="s">
        <v>1102</v>
      </c>
      <c r="P127" s="63" t="s">
        <v>19</v>
      </c>
      <c r="Q127" s="29" t="s">
        <v>1103</v>
      </c>
      <c r="R127" s="34" t="s">
        <v>1104</v>
      </c>
      <c r="S127" s="29"/>
      <c r="T127" s="50"/>
    </row>
    <row r="128" spans="1:20" s="45" customFormat="1">
      <c r="A128" s="55"/>
      <c r="B128" s="55"/>
      <c r="C128" s="55"/>
      <c r="D128" s="55"/>
      <c r="E128" s="93" t="s">
        <v>326</v>
      </c>
      <c r="F128" s="94"/>
      <c r="G128" s="94"/>
      <c r="H128" s="94"/>
      <c r="I128" s="94"/>
      <c r="J128" s="94"/>
      <c r="K128" s="94"/>
      <c r="L128" s="94"/>
      <c r="M128" s="94"/>
      <c r="N128" s="94"/>
      <c r="O128" s="94"/>
      <c r="P128" s="94"/>
      <c r="Q128" s="94"/>
      <c r="R128" s="94"/>
      <c r="S128" s="94"/>
      <c r="T128" s="95"/>
    </row>
    <row r="129" spans="1:20" s="45" customFormat="1">
      <c r="A129" s="55"/>
      <c r="B129" s="55"/>
      <c r="C129" s="55"/>
      <c r="D129" s="55"/>
      <c r="E129" s="46" t="s">
        <v>5</v>
      </c>
      <c r="F129" s="30" t="s">
        <v>6</v>
      </c>
      <c r="G129" s="30" t="s">
        <v>7</v>
      </c>
      <c r="H129" s="30" t="s">
        <v>6</v>
      </c>
      <c r="I129" s="30" t="s">
        <v>8</v>
      </c>
      <c r="J129" s="30" t="s">
        <v>6</v>
      </c>
      <c r="K129" s="30" t="s">
        <v>9</v>
      </c>
      <c r="L129" s="30" t="s">
        <v>6</v>
      </c>
      <c r="M129" s="30" t="s">
        <v>10</v>
      </c>
      <c r="N129" s="30" t="s">
        <v>6</v>
      </c>
      <c r="O129" s="30" t="s">
        <v>11</v>
      </c>
      <c r="P129" s="30" t="s">
        <v>6</v>
      </c>
      <c r="Q129" s="30" t="s">
        <v>12</v>
      </c>
      <c r="R129" s="30" t="s">
        <v>6</v>
      </c>
      <c r="S129" s="30" t="s">
        <v>13</v>
      </c>
      <c r="T129" s="50" t="s">
        <v>6</v>
      </c>
    </row>
    <row r="130" spans="1:20" s="45" customFormat="1" ht="237.75" customHeight="1">
      <c r="A130" s="51" t="s">
        <v>795</v>
      </c>
      <c r="B130" s="56">
        <v>3</v>
      </c>
      <c r="C130" s="56">
        <v>7</v>
      </c>
      <c r="D130" s="57">
        <v>18</v>
      </c>
      <c r="E130" s="29" t="s">
        <v>1105</v>
      </c>
      <c r="F130" s="63" t="s">
        <v>19</v>
      </c>
      <c r="G130" s="29" t="s">
        <v>1106</v>
      </c>
      <c r="H130" s="63" t="s">
        <v>19</v>
      </c>
      <c r="I130" s="29" t="s">
        <v>1107</v>
      </c>
      <c r="J130" s="36" t="s">
        <v>1108</v>
      </c>
      <c r="K130" s="29" t="s">
        <v>1109</v>
      </c>
      <c r="L130" s="63" t="s">
        <v>19</v>
      </c>
      <c r="M130" s="29" t="s">
        <v>1110</v>
      </c>
      <c r="N130" s="63" t="s">
        <v>19</v>
      </c>
      <c r="O130" s="29" t="s">
        <v>1111</v>
      </c>
      <c r="P130" s="63" t="s">
        <v>19</v>
      </c>
      <c r="Q130" s="29" t="s">
        <v>1112</v>
      </c>
      <c r="R130" s="34" t="s">
        <v>1113</v>
      </c>
      <c r="S130" s="29"/>
      <c r="T130" s="50"/>
    </row>
    <row r="131" spans="1:20" s="45" customFormat="1">
      <c r="A131" s="55"/>
      <c r="B131" s="55"/>
      <c r="C131" s="55"/>
      <c r="D131" s="55"/>
      <c r="E131" s="93" t="s">
        <v>326</v>
      </c>
      <c r="F131" s="94"/>
      <c r="G131" s="94"/>
      <c r="H131" s="94"/>
      <c r="I131" s="94"/>
      <c r="J131" s="94"/>
      <c r="K131" s="94"/>
      <c r="L131" s="94"/>
      <c r="M131" s="94"/>
      <c r="N131" s="94"/>
      <c r="O131" s="94"/>
      <c r="P131" s="94"/>
      <c r="Q131" s="94"/>
      <c r="R131" s="94"/>
      <c r="S131" s="94"/>
      <c r="T131" s="95"/>
    </row>
    <row r="132" spans="1:20" s="45" customFormat="1">
      <c r="A132" s="55"/>
      <c r="B132" s="55"/>
      <c r="C132" s="55"/>
      <c r="D132" s="55"/>
      <c r="E132" s="46" t="s">
        <v>5</v>
      </c>
      <c r="F132" s="30" t="s">
        <v>6</v>
      </c>
      <c r="G132" s="30" t="s">
        <v>7</v>
      </c>
      <c r="H132" s="30" t="s">
        <v>6</v>
      </c>
      <c r="I132" s="30" t="s">
        <v>8</v>
      </c>
      <c r="J132" s="30" t="s">
        <v>6</v>
      </c>
      <c r="K132" s="30" t="s">
        <v>9</v>
      </c>
      <c r="L132" s="30" t="s">
        <v>6</v>
      </c>
      <c r="M132" s="30" t="s">
        <v>10</v>
      </c>
      <c r="N132" s="30" t="s">
        <v>6</v>
      </c>
      <c r="O132" s="30" t="s">
        <v>11</v>
      </c>
      <c r="P132" s="30" t="s">
        <v>6</v>
      </c>
      <c r="Q132" s="30" t="s">
        <v>12</v>
      </c>
      <c r="R132" s="30" t="s">
        <v>6</v>
      </c>
      <c r="S132" s="30" t="s">
        <v>13</v>
      </c>
      <c r="T132" s="50" t="s">
        <v>6</v>
      </c>
    </row>
    <row r="133" spans="1:20" s="45" customFormat="1" ht="277.14999999999998">
      <c r="A133" s="51" t="s">
        <v>795</v>
      </c>
      <c r="B133" s="56">
        <v>3</v>
      </c>
      <c r="C133" s="56">
        <v>7</v>
      </c>
      <c r="D133" s="57">
        <v>21</v>
      </c>
      <c r="E133" s="29" t="s">
        <v>1114</v>
      </c>
      <c r="F133" s="26" t="s">
        <v>1115</v>
      </c>
      <c r="G133" s="29" t="s">
        <v>1116</v>
      </c>
      <c r="H133" s="36" t="s">
        <v>1117</v>
      </c>
      <c r="I133" s="29" t="s">
        <v>1079</v>
      </c>
      <c r="J133" s="63" t="s">
        <v>19</v>
      </c>
      <c r="K133" s="29" t="s">
        <v>1118</v>
      </c>
      <c r="L133" s="36" t="s">
        <v>1119</v>
      </c>
      <c r="M133" s="29" t="s">
        <v>1120</v>
      </c>
      <c r="N133" s="63" t="s">
        <v>19</v>
      </c>
      <c r="O133" s="29" t="s">
        <v>1121</v>
      </c>
      <c r="P133" s="63" t="s">
        <v>19</v>
      </c>
      <c r="Q133" s="29" t="s">
        <v>1122</v>
      </c>
      <c r="R133" s="34" t="s">
        <v>1123</v>
      </c>
      <c r="S133" s="29"/>
      <c r="T133" s="50"/>
    </row>
    <row r="134" spans="1:20" s="45" customFormat="1">
      <c r="A134" s="55"/>
      <c r="B134" s="55"/>
      <c r="C134" s="55"/>
      <c r="D134" s="55"/>
      <c r="E134" s="93" t="s">
        <v>326</v>
      </c>
      <c r="F134" s="94"/>
      <c r="G134" s="94"/>
      <c r="H134" s="94"/>
      <c r="I134" s="94"/>
      <c r="J134" s="94"/>
      <c r="K134" s="94"/>
      <c r="L134" s="94"/>
      <c r="M134" s="94"/>
      <c r="N134" s="94"/>
      <c r="O134" s="94"/>
      <c r="P134" s="94"/>
      <c r="Q134" s="94"/>
      <c r="R134" s="94"/>
      <c r="S134" s="94"/>
      <c r="T134" s="95"/>
    </row>
    <row r="135" spans="1:20" s="45" customFormat="1">
      <c r="A135" s="55"/>
      <c r="B135" s="55"/>
      <c r="C135" s="55"/>
      <c r="D135" s="55"/>
      <c r="E135" s="46" t="s">
        <v>5</v>
      </c>
      <c r="F135" s="30" t="s">
        <v>6</v>
      </c>
      <c r="G135" s="30" t="s">
        <v>7</v>
      </c>
      <c r="H135" s="30" t="s">
        <v>6</v>
      </c>
      <c r="I135" s="30" t="s">
        <v>8</v>
      </c>
      <c r="J135" s="30" t="s">
        <v>6</v>
      </c>
      <c r="K135" s="30" t="s">
        <v>9</v>
      </c>
      <c r="L135" s="30" t="s">
        <v>6</v>
      </c>
      <c r="M135" s="30" t="s">
        <v>10</v>
      </c>
      <c r="N135" s="30" t="s">
        <v>6</v>
      </c>
      <c r="O135" s="30" t="s">
        <v>11</v>
      </c>
      <c r="P135" s="30" t="s">
        <v>6</v>
      </c>
      <c r="Q135" s="30" t="s">
        <v>12</v>
      </c>
      <c r="R135" s="30" t="s">
        <v>6</v>
      </c>
      <c r="S135" s="30" t="s">
        <v>13</v>
      </c>
      <c r="T135" s="50" t="s">
        <v>6</v>
      </c>
    </row>
    <row r="136" spans="1:20" s="45" customFormat="1" ht="221.25" customHeight="1">
      <c r="A136" s="51" t="s">
        <v>795</v>
      </c>
      <c r="B136" s="56">
        <v>3</v>
      </c>
      <c r="C136" s="56">
        <v>7</v>
      </c>
      <c r="D136" s="57">
        <v>23</v>
      </c>
      <c r="E136" s="29" t="s">
        <v>1124</v>
      </c>
      <c r="F136" s="63" t="s">
        <v>19</v>
      </c>
      <c r="G136" s="29" t="s">
        <v>1125</v>
      </c>
      <c r="H136" s="63" t="s">
        <v>19</v>
      </c>
      <c r="I136" s="29" t="s">
        <v>1079</v>
      </c>
      <c r="J136" s="63" t="s">
        <v>19</v>
      </c>
      <c r="K136" s="29" t="s">
        <v>1126</v>
      </c>
      <c r="L136" s="36" t="s">
        <v>1127</v>
      </c>
      <c r="M136" s="29" t="s">
        <v>1128</v>
      </c>
      <c r="N136" s="63" t="s">
        <v>19</v>
      </c>
      <c r="O136" s="29" t="s">
        <v>1129</v>
      </c>
      <c r="P136" s="63" t="s">
        <v>19</v>
      </c>
      <c r="Q136" s="29" t="s">
        <v>1130</v>
      </c>
      <c r="R136" s="34" t="s">
        <v>1131</v>
      </c>
      <c r="S136" s="29"/>
      <c r="T136" s="50"/>
    </row>
    <row r="137" spans="1:20" s="45" customFormat="1">
      <c r="A137" s="55"/>
      <c r="B137" s="55"/>
      <c r="C137" s="55"/>
      <c r="D137" s="55"/>
      <c r="E137" s="93" t="s">
        <v>326</v>
      </c>
      <c r="F137" s="94"/>
      <c r="G137" s="94"/>
      <c r="H137" s="94"/>
      <c r="I137" s="94"/>
      <c r="J137" s="94"/>
      <c r="K137" s="94"/>
      <c r="L137" s="94"/>
      <c r="M137" s="94"/>
      <c r="N137" s="94"/>
      <c r="O137" s="94"/>
      <c r="P137" s="94"/>
      <c r="Q137" s="94"/>
      <c r="R137" s="94"/>
      <c r="S137" s="94"/>
      <c r="T137" s="95"/>
    </row>
    <row r="138" spans="1:20" s="45" customFormat="1">
      <c r="A138" s="55"/>
      <c r="B138" s="55"/>
      <c r="C138" s="55"/>
      <c r="D138" s="55"/>
      <c r="E138" s="46" t="s">
        <v>5</v>
      </c>
      <c r="F138" s="30" t="s">
        <v>6</v>
      </c>
      <c r="G138" s="30" t="s">
        <v>7</v>
      </c>
      <c r="H138" s="30" t="s">
        <v>6</v>
      </c>
      <c r="I138" s="30" t="s">
        <v>8</v>
      </c>
      <c r="J138" s="30" t="s">
        <v>6</v>
      </c>
      <c r="K138" s="30" t="s">
        <v>9</v>
      </c>
      <c r="L138" s="30" t="s">
        <v>6</v>
      </c>
      <c r="M138" s="30" t="s">
        <v>10</v>
      </c>
      <c r="N138" s="30" t="s">
        <v>6</v>
      </c>
      <c r="O138" s="30" t="s">
        <v>11</v>
      </c>
      <c r="P138" s="30" t="s">
        <v>6</v>
      </c>
      <c r="Q138" s="30" t="s">
        <v>12</v>
      </c>
      <c r="R138" s="30" t="s">
        <v>6</v>
      </c>
      <c r="S138" s="30" t="s">
        <v>13</v>
      </c>
      <c r="T138" s="50" t="s">
        <v>6</v>
      </c>
    </row>
    <row r="139" spans="1:20" s="45" customFormat="1" ht="237.6">
      <c r="A139" s="51" t="s">
        <v>795</v>
      </c>
      <c r="B139" s="56">
        <v>3</v>
      </c>
      <c r="C139" s="56">
        <v>7</v>
      </c>
      <c r="D139" s="57">
        <v>28</v>
      </c>
      <c r="E139" s="29" t="s">
        <v>1132</v>
      </c>
      <c r="F139" s="63" t="s">
        <v>19</v>
      </c>
      <c r="G139" s="29" t="s">
        <v>1133</v>
      </c>
      <c r="H139" s="63" t="s">
        <v>19</v>
      </c>
      <c r="I139" s="29" t="s">
        <v>1079</v>
      </c>
      <c r="J139" s="63" t="s">
        <v>19</v>
      </c>
      <c r="K139" s="29" t="s">
        <v>1134</v>
      </c>
      <c r="L139" s="36" t="s">
        <v>1135</v>
      </c>
      <c r="M139" s="29" t="s">
        <v>1136</v>
      </c>
      <c r="N139" s="63" t="s">
        <v>19</v>
      </c>
      <c r="O139" s="29" t="s">
        <v>1137</v>
      </c>
      <c r="P139" s="63" t="s">
        <v>19</v>
      </c>
      <c r="Q139" s="29" t="s">
        <v>1138</v>
      </c>
      <c r="R139" s="63" t="s">
        <v>19</v>
      </c>
      <c r="S139" s="29"/>
      <c r="T139" s="50"/>
    </row>
    <row r="140" spans="1:20" s="45" customFormat="1">
      <c r="A140" s="55"/>
      <c r="B140" s="55"/>
      <c r="C140" s="55"/>
      <c r="D140" s="55"/>
      <c r="E140" s="93" t="s">
        <v>396</v>
      </c>
      <c r="F140" s="94"/>
      <c r="G140" s="94"/>
      <c r="H140" s="94"/>
      <c r="I140" s="94"/>
      <c r="J140" s="94"/>
      <c r="K140" s="94"/>
      <c r="L140" s="94"/>
      <c r="M140" s="94"/>
      <c r="N140" s="94"/>
      <c r="O140" s="94"/>
      <c r="P140" s="94"/>
      <c r="Q140" s="94"/>
      <c r="R140" s="94"/>
      <c r="S140" s="94"/>
      <c r="T140" s="95"/>
    </row>
    <row r="141" spans="1:20" s="45" customFormat="1">
      <c r="A141" s="55"/>
      <c r="B141" s="55"/>
      <c r="C141" s="55"/>
      <c r="D141" s="55"/>
      <c r="E141" s="46" t="s">
        <v>5</v>
      </c>
      <c r="F141" s="30" t="s">
        <v>6</v>
      </c>
      <c r="G141" s="30" t="s">
        <v>7</v>
      </c>
      <c r="H141" s="30" t="s">
        <v>6</v>
      </c>
      <c r="I141" s="30" t="s">
        <v>8</v>
      </c>
      <c r="J141" s="30" t="s">
        <v>6</v>
      </c>
      <c r="K141" s="30" t="s">
        <v>9</v>
      </c>
      <c r="L141" s="30" t="s">
        <v>6</v>
      </c>
      <c r="M141" s="30" t="s">
        <v>10</v>
      </c>
      <c r="N141" s="30" t="s">
        <v>6</v>
      </c>
      <c r="O141" s="30" t="s">
        <v>11</v>
      </c>
      <c r="P141" s="30" t="s">
        <v>6</v>
      </c>
      <c r="Q141" s="30" t="s">
        <v>12</v>
      </c>
      <c r="R141" s="30" t="s">
        <v>6</v>
      </c>
      <c r="S141" s="30" t="s">
        <v>13</v>
      </c>
      <c r="T141" s="50" t="s">
        <v>6</v>
      </c>
    </row>
    <row r="142" spans="1:20" s="45" customFormat="1" ht="211.15">
      <c r="A142" s="51" t="s">
        <v>795</v>
      </c>
      <c r="B142" s="56">
        <v>3</v>
      </c>
      <c r="C142" s="56">
        <v>8</v>
      </c>
      <c r="D142" s="57">
        <v>3</v>
      </c>
      <c r="E142" s="29" t="s">
        <v>1139</v>
      </c>
      <c r="F142" s="63" t="s">
        <v>19</v>
      </c>
      <c r="G142" s="29" t="s">
        <v>1140</v>
      </c>
      <c r="H142" s="36" t="s">
        <v>399</v>
      </c>
      <c r="I142" s="29" t="s">
        <v>1141</v>
      </c>
      <c r="J142" s="63" t="s">
        <v>19</v>
      </c>
      <c r="K142" s="29" t="s">
        <v>1142</v>
      </c>
      <c r="L142" s="37" t="s">
        <v>1143</v>
      </c>
      <c r="M142" s="29" t="s">
        <v>1144</v>
      </c>
      <c r="N142" s="26" t="s">
        <v>19</v>
      </c>
      <c r="O142" s="29" t="s">
        <v>1145</v>
      </c>
      <c r="P142" s="34" t="s">
        <v>1146</v>
      </c>
      <c r="Q142" s="29" t="s">
        <v>1147</v>
      </c>
      <c r="R142" s="26" t="s">
        <v>1148</v>
      </c>
      <c r="S142" s="29"/>
      <c r="T142" s="50"/>
    </row>
    <row r="143" spans="1:20" s="45" customFormat="1">
      <c r="A143" s="55"/>
      <c r="B143" s="55"/>
      <c r="C143" s="55"/>
      <c r="D143" s="55"/>
      <c r="E143" s="93" t="s">
        <v>396</v>
      </c>
      <c r="F143" s="94"/>
      <c r="G143" s="94"/>
      <c r="H143" s="94"/>
      <c r="I143" s="94"/>
      <c r="J143" s="94"/>
      <c r="K143" s="94"/>
      <c r="L143" s="94"/>
      <c r="M143" s="94"/>
      <c r="N143" s="94"/>
      <c r="O143" s="94"/>
      <c r="P143" s="94"/>
      <c r="Q143" s="94"/>
      <c r="R143" s="94"/>
      <c r="S143" s="94"/>
      <c r="T143" s="95"/>
    </row>
    <row r="144" spans="1:20" s="45" customFormat="1">
      <c r="A144" s="55"/>
      <c r="B144" s="55"/>
      <c r="C144" s="55"/>
      <c r="D144" s="55"/>
      <c r="E144" s="46" t="s">
        <v>5</v>
      </c>
      <c r="F144" s="30" t="s">
        <v>6</v>
      </c>
      <c r="G144" s="30" t="s">
        <v>7</v>
      </c>
      <c r="H144" s="30" t="s">
        <v>6</v>
      </c>
      <c r="I144" s="30" t="s">
        <v>8</v>
      </c>
      <c r="J144" s="30" t="s">
        <v>6</v>
      </c>
      <c r="K144" s="30" t="s">
        <v>9</v>
      </c>
      <c r="L144" s="30" t="s">
        <v>6</v>
      </c>
      <c r="M144" s="30" t="s">
        <v>10</v>
      </c>
      <c r="N144" s="30" t="s">
        <v>6</v>
      </c>
      <c r="O144" s="30" t="s">
        <v>11</v>
      </c>
      <c r="P144" s="30" t="s">
        <v>6</v>
      </c>
      <c r="Q144" s="30" t="s">
        <v>12</v>
      </c>
      <c r="R144" s="30" t="s">
        <v>6</v>
      </c>
      <c r="S144" s="30" t="s">
        <v>13</v>
      </c>
      <c r="T144" s="50" t="s">
        <v>6</v>
      </c>
    </row>
    <row r="145" spans="1:20" s="45" customFormat="1" ht="184.9">
      <c r="A145" s="51" t="s">
        <v>795</v>
      </c>
      <c r="B145" s="56">
        <v>3</v>
      </c>
      <c r="C145" s="56">
        <v>8</v>
      </c>
      <c r="D145" s="57">
        <v>6</v>
      </c>
      <c r="E145" s="29" t="s">
        <v>1149</v>
      </c>
      <c r="F145" s="63" t="s">
        <v>19</v>
      </c>
      <c r="G145" s="29" t="s">
        <v>1150</v>
      </c>
      <c r="H145" s="64" t="s">
        <v>1151</v>
      </c>
      <c r="I145" s="29" t="s">
        <v>1152</v>
      </c>
      <c r="J145" s="34" t="s">
        <v>1153</v>
      </c>
      <c r="K145" s="29" t="s">
        <v>1154</v>
      </c>
      <c r="L145" s="37" t="s">
        <v>1143</v>
      </c>
      <c r="M145" s="29" t="s">
        <v>1155</v>
      </c>
      <c r="N145" s="26" t="s">
        <v>19</v>
      </c>
      <c r="O145" s="29" t="s">
        <v>1156</v>
      </c>
      <c r="P145" s="26" t="s">
        <v>19</v>
      </c>
      <c r="Q145" s="29" t="s">
        <v>128</v>
      </c>
      <c r="R145" s="26" t="s">
        <v>19</v>
      </c>
      <c r="S145" s="29"/>
      <c r="T145" s="50"/>
    </row>
    <row r="146" spans="1:20" s="45" customFormat="1">
      <c r="A146" s="55"/>
      <c r="B146" s="55"/>
      <c r="C146" s="55"/>
      <c r="D146" s="55"/>
      <c r="E146" s="93" t="s">
        <v>396</v>
      </c>
      <c r="F146" s="94"/>
      <c r="G146" s="94"/>
      <c r="H146" s="94"/>
      <c r="I146" s="94"/>
      <c r="J146" s="94"/>
      <c r="K146" s="94"/>
      <c r="L146" s="94"/>
      <c r="M146" s="94"/>
      <c r="N146" s="94"/>
      <c r="O146" s="94"/>
      <c r="P146" s="94"/>
      <c r="Q146" s="94"/>
      <c r="R146" s="94"/>
      <c r="S146" s="94"/>
      <c r="T146" s="95"/>
    </row>
    <row r="147" spans="1:20" s="45" customFormat="1">
      <c r="A147" s="55"/>
      <c r="B147" s="55"/>
      <c r="C147" s="55"/>
      <c r="D147" s="55"/>
      <c r="E147" s="46" t="s">
        <v>5</v>
      </c>
      <c r="F147" s="30" t="s">
        <v>6</v>
      </c>
      <c r="G147" s="30" t="s">
        <v>7</v>
      </c>
      <c r="H147" s="30" t="s">
        <v>6</v>
      </c>
      <c r="I147" s="30" t="s">
        <v>8</v>
      </c>
      <c r="J147" s="30" t="s">
        <v>6</v>
      </c>
      <c r="K147" s="30" t="s">
        <v>9</v>
      </c>
      <c r="L147" s="30" t="s">
        <v>6</v>
      </c>
      <c r="M147" s="30" t="s">
        <v>10</v>
      </c>
      <c r="N147" s="30" t="s">
        <v>6</v>
      </c>
      <c r="O147" s="30" t="s">
        <v>11</v>
      </c>
      <c r="P147" s="30" t="s">
        <v>6</v>
      </c>
      <c r="Q147" s="30" t="s">
        <v>12</v>
      </c>
      <c r="R147" s="30" t="s">
        <v>6</v>
      </c>
      <c r="S147" s="30" t="s">
        <v>13</v>
      </c>
      <c r="T147" s="50" t="s">
        <v>6</v>
      </c>
    </row>
    <row r="148" spans="1:20" s="45" customFormat="1" ht="211.15">
      <c r="A148" s="51" t="s">
        <v>795</v>
      </c>
      <c r="B148" s="56">
        <v>3</v>
      </c>
      <c r="C148" s="56">
        <v>8</v>
      </c>
      <c r="D148" s="57">
        <v>10</v>
      </c>
      <c r="E148" s="29" t="s">
        <v>1157</v>
      </c>
      <c r="F148" s="63" t="s">
        <v>19</v>
      </c>
      <c r="G148" s="29" t="s">
        <v>1158</v>
      </c>
      <c r="H148" s="64" t="s">
        <v>1151</v>
      </c>
      <c r="I148" s="29" t="s">
        <v>1159</v>
      </c>
      <c r="J148" s="63" t="s">
        <v>19</v>
      </c>
      <c r="K148" s="29" t="s">
        <v>1160</v>
      </c>
      <c r="L148" s="37" t="s">
        <v>1143</v>
      </c>
      <c r="M148" s="29" t="s">
        <v>1161</v>
      </c>
      <c r="N148" s="34" t="s">
        <v>1162</v>
      </c>
      <c r="O148" s="29" t="s">
        <v>1163</v>
      </c>
      <c r="P148" s="26" t="s">
        <v>19</v>
      </c>
      <c r="Q148" s="29" t="s">
        <v>1164</v>
      </c>
      <c r="R148" s="34" t="s">
        <v>1165</v>
      </c>
      <c r="S148" s="29"/>
      <c r="T148" s="50"/>
    </row>
    <row r="149" spans="1:20" s="45" customFormat="1">
      <c r="A149" s="55"/>
      <c r="B149" s="55"/>
      <c r="C149" s="55"/>
      <c r="D149" s="55"/>
      <c r="E149" s="93" t="s">
        <v>396</v>
      </c>
      <c r="F149" s="94"/>
      <c r="G149" s="94"/>
      <c r="H149" s="94"/>
      <c r="I149" s="94"/>
      <c r="J149" s="94"/>
      <c r="K149" s="94"/>
      <c r="L149" s="94"/>
      <c r="M149" s="94"/>
      <c r="N149" s="94"/>
      <c r="O149" s="94"/>
      <c r="P149" s="94"/>
      <c r="Q149" s="94"/>
      <c r="R149" s="94"/>
      <c r="S149" s="94"/>
      <c r="T149" s="95"/>
    </row>
    <row r="150" spans="1:20" s="45" customFormat="1">
      <c r="A150" s="55"/>
      <c r="B150" s="55"/>
      <c r="C150" s="55"/>
      <c r="D150" s="55"/>
      <c r="E150" s="46" t="s">
        <v>5</v>
      </c>
      <c r="F150" s="30" t="s">
        <v>6</v>
      </c>
      <c r="G150" s="30" t="s">
        <v>7</v>
      </c>
      <c r="H150" s="30" t="s">
        <v>6</v>
      </c>
      <c r="I150" s="30" t="s">
        <v>8</v>
      </c>
      <c r="J150" s="30" t="s">
        <v>6</v>
      </c>
      <c r="K150" s="30" t="s">
        <v>9</v>
      </c>
      <c r="L150" s="30" t="s">
        <v>6</v>
      </c>
      <c r="M150" s="30" t="s">
        <v>10</v>
      </c>
      <c r="N150" s="30" t="s">
        <v>6</v>
      </c>
      <c r="O150" s="30" t="s">
        <v>11</v>
      </c>
      <c r="P150" s="30" t="s">
        <v>6</v>
      </c>
      <c r="Q150" s="30" t="s">
        <v>12</v>
      </c>
      <c r="R150" s="30" t="s">
        <v>6</v>
      </c>
      <c r="S150" s="30" t="s">
        <v>13</v>
      </c>
      <c r="T150" s="50" t="s">
        <v>6</v>
      </c>
    </row>
    <row r="151" spans="1:20" s="45" customFormat="1" ht="171.6">
      <c r="A151" s="51" t="s">
        <v>795</v>
      </c>
      <c r="B151" s="56">
        <v>3</v>
      </c>
      <c r="C151" s="56">
        <v>8</v>
      </c>
      <c r="D151" s="57">
        <v>19</v>
      </c>
      <c r="E151" s="29" t="s">
        <v>1166</v>
      </c>
      <c r="F151" s="63" t="s">
        <v>19</v>
      </c>
      <c r="G151" s="29" t="s">
        <v>1167</v>
      </c>
      <c r="H151" s="64" t="s">
        <v>1151</v>
      </c>
      <c r="I151" s="29" t="s">
        <v>1168</v>
      </c>
      <c r="J151" s="34" t="s">
        <v>1169</v>
      </c>
      <c r="K151" s="29" t="s">
        <v>1170</v>
      </c>
      <c r="L151" s="37" t="s">
        <v>1143</v>
      </c>
      <c r="M151" s="29" t="s">
        <v>1171</v>
      </c>
      <c r="N151" s="26" t="s">
        <v>19</v>
      </c>
      <c r="O151" s="29" t="s">
        <v>1172</v>
      </c>
      <c r="P151" s="26" t="s">
        <v>19</v>
      </c>
      <c r="Q151" s="29" t="s">
        <v>1173</v>
      </c>
      <c r="R151" s="26" t="s">
        <v>1148</v>
      </c>
      <c r="S151" s="29"/>
      <c r="T151" s="50"/>
    </row>
    <row r="152" spans="1:20" s="45" customFormat="1">
      <c r="A152" s="55"/>
      <c r="B152" s="55"/>
      <c r="C152" s="55"/>
      <c r="D152" s="55"/>
      <c r="E152" s="93" t="s">
        <v>396</v>
      </c>
      <c r="F152" s="94"/>
      <c r="G152" s="94"/>
      <c r="H152" s="94"/>
      <c r="I152" s="94"/>
      <c r="J152" s="94"/>
      <c r="K152" s="94"/>
      <c r="L152" s="94"/>
      <c r="M152" s="94"/>
      <c r="N152" s="94"/>
      <c r="O152" s="94"/>
      <c r="P152" s="94"/>
      <c r="Q152" s="94"/>
      <c r="R152" s="94"/>
      <c r="S152" s="94"/>
      <c r="T152" s="95"/>
    </row>
    <row r="153" spans="1:20" s="45" customFormat="1">
      <c r="A153" s="55"/>
      <c r="B153" s="55"/>
      <c r="C153" s="55"/>
      <c r="D153" s="55"/>
      <c r="E153" s="46" t="s">
        <v>5</v>
      </c>
      <c r="F153" s="30" t="s">
        <v>6</v>
      </c>
      <c r="G153" s="30" t="s">
        <v>7</v>
      </c>
      <c r="H153" s="30" t="s">
        <v>6</v>
      </c>
      <c r="I153" s="30" t="s">
        <v>8</v>
      </c>
      <c r="J153" s="30" t="s">
        <v>6</v>
      </c>
      <c r="K153" s="30" t="s">
        <v>9</v>
      </c>
      <c r="L153" s="30" t="s">
        <v>6</v>
      </c>
      <c r="M153" s="30" t="s">
        <v>10</v>
      </c>
      <c r="N153" s="30" t="s">
        <v>6</v>
      </c>
      <c r="O153" s="30" t="s">
        <v>11</v>
      </c>
      <c r="P153" s="30" t="s">
        <v>6</v>
      </c>
      <c r="Q153" s="30" t="s">
        <v>12</v>
      </c>
      <c r="R153" s="30" t="s">
        <v>6</v>
      </c>
      <c r="S153" s="30" t="s">
        <v>13</v>
      </c>
      <c r="T153" s="50" t="s">
        <v>6</v>
      </c>
    </row>
    <row r="154" spans="1:20" s="45" customFormat="1" ht="158.44999999999999">
      <c r="A154" s="51" t="s">
        <v>795</v>
      </c>
      <c r="B154" s="56">
        <v>3</v>
      </c>
      <c r="C154" s="56">
        <v>8</v>
      </c>
      <c r="D154" s="57">
        <v>24</v>
      </c>
      <c r="E154" s="29" t="s">
        <v>1174</v>
      </c>
      <c r="F154" s="63" t="s">
        <v>19</v>
      </c>
      <c r="G154" s="29" t="s">
        <v>1175</v>
      </c>
      <c r="H154" s="64" t="s">
        <v>1151</v>
      </c>
      <c r="I154" s="29" t="s">
        <v>1176</v>
      </c>
      <c r="J154" s="34" t="s">
        <v>1169</v>
      </c>
      <c r="K154" s="29" t="s">
        <v>1177</v>
      </c>
      <c r="L154" s="37" t="s">
        <v>1143</v>
      </c>
      <c r="M154" s="29" t="s">
        <v>1178</v>
      </c>
      <c r="N154" s="26" t="s">
        <v>19</v>
      </c>
      <c r="O154" s="29" t="s">
        <v>1179</v>
      </c>
      <c r="P154" s="26" t="s">
        <v>19</v>
      </c>
      <c r="Q154" s="29" t="s">
        <v>128</v>
      </c>
      <c r="R154" s="26" t="s">
        <v>19</v>
      </c>
      <c r="S154" s="29"/>
      <c r="T154" s="50"/>
    </row>
    <row r="155" spans="1:20" s="45" customFormat="1">
      <c r="A155" s="55"/>
      <c r="B155" s="55"/>
      <c r="C155" s="55"/>
      <c r="D155" s="55"/>
      <c r="E155" s="93" t="s">
        <v>396</v>
      </c>
      <c r="F155" s="94"/>
      <c r="G155" s="94"/>
      <c r="H155" s="94"/>
      <c r="I155" s="94"/>
      <c r="J155" s="94"/>
      <c r="K155" s="94"/>
      <c r="L155" s="94"/>
      <c r="M155" s="94"/>
      <c r="N155" s="94"/>
      <c r="O155" s="94"/>
      <c r="P155" s="94"/>
      <c r="Q155" s="94"/>
      <c r="R155" s="94"/>
      <c r="S155" s="94"/>
      <c r="T155" s="95"/>
    </row>
    <row r="156" spans="1:20" s="45" customFormat="1">
      <c r="A156" s="55"/>
      <c r="B156" s="55"/>
      <c r="C156" s="55"/>
      <c r="D156" s="55"/>
      <c r="E156" s="46" t="s">
        <v>5</v>
      </c>
      <c r="F156" s="30" t="s">
        <v>6</v>
      </c>
      <c r="G156" s="30" t="s">
        <v>7</v>
      </c>
      <c r="H156" s="30" t="s">
        <v>6</v>
      </c>
      <c r="I156" s="30" t="s">
        <v>8</v>
      </c>
      <c r="J156" s="30" t="s">
        <v>6</v>
      </c>
      <c r="K156" s="30" t="s">
        <v>9</v>
      </c>
      <c r="L156" s="30" t="s">
        <v>6</v>
      </c>
      <c r="M156" s="30" t="s">
        <v>10</v>
      </c>
      <c r="N156" s="30" t="s">
        <v>6</v>
      </c>
      <c r="O156" s="30" t="s">
        <v>11</v>
      </c>
      <c r="P156" s="30" t="s">
        <v>6</v>
      </c>
      <c r="Q156" s="30" t="s">
        <v>12</v>
      </c>
      <c r="R156" s="30" t="s">
        <v>6</v>
      </c>
      <c r="S156" s="30" t="s">
        <v>13</v>
      </c>
      <c r="T156" s="50" t="s">
        <v>6</v>
      </c>
    </row>
    <row r="157" spans="1:20" s="45" customFormat="1" ht="184.9">
      <c r="A157" s="51" t="s">
        <v>795</v>
      </c>
      <c r="B157" s="56">
        <v>3</v>
      </c>
      <c r="C157" s="56">
        <v>8</v>
      </c>
      <c r="D157" s="57">
        <v>26</v>
      </c>
      <c r="E157" s="29" t="s">
        <v>1180</v>
      </c>
      <c r="F157" s="63" t="s">
        <v>19</v>
      </c>
      <c r="G157" s="29" t="s">
        <v>1181</v>
      </c>
      <c r="H157" s="64" t="s">
        <v>1151</v>
      </c>
      <c r="I157" s="29" t="s">
        <v>1182</v>
      </c>
      <c r="J157" s="34" t="s">
        <v>1153</v>
      </c>
      <c r="K157" s="29" t="s">
        <v>1183</v>
      </c>
      <c r="L157" s="37" t="s">
        <v>1143</v>
      </c>
      <c r="M157" s="29" t="s">
        <v>1184</v>
      </c>
      <c r="N157" s="26" t="s">
        <v>19</v>
      </c>
      <c r="O157" s="29" t="s">
        <v>1185</v>
      </c>
      <c r="P157" s="34" t="s">
        <v>1186</v>
      </c>
      <c r="Q157" s="29" t="s">
        <v>1187</v>
      </c>
      <c r="R157" s="26" t="s">
        <v>1148</v>
      </c>
      <c r="S157" s="29"/>
      <c r="T157" s="50"/>
    </row>
    <row r="158" spans="1:20" s="45" customFormat="1">
      <c r="A158" s="55"/>
      <c r="B158" s="55"/>
      <c r="C158" s="55"/>
      <c r="D158" s="55"/>
      <c r="E158" s="93" t="s">
        <v>396</v>
      </c>
      <c r="F158" s="94"/>
      <c r="G158" s="94"/>
      <c r="H158" s="94"/>
      <c r="I158" s="94"/>
      <c r="J158" s="94"/>
      <c r="K158" s="94"/>
      <c r="L158" s="94"/>
      <c r="M158" s="94"/>
      <c r="N158" s="94"/>
      <c r="O158" s="94"/>
      <c r="P158" s="94"/>
      <c r="Q158" s="94"/>
      <c r="R158" s="94"/>
      <c r="S158" s="94"/>
      <c r="T158" s="95"/>
    </row>
    <row r="159" spans="1:20" s="45" customFormat="1">
      <c r="A159" s="55"/>
      <c r="B159" s="55"/>
      <c r="C159" s="55"/>
      <c r="D159" s="55"/>
      <c r="E159" s="46" t="s">
        <v>5</v>
      </c>
      <c r="F159" s="30" t="s">
        <v>6</v>
      </c>
      <c r="G159" s="30" t="s">
        <v>7</v>
      </c>
      <c r="H159" s="30" t="s">
        <v>6</v>
      </c>
      <c r="I159" s="30" t="s">
        <v>8</v>
      </c>
      <c r="J159" s="30" t="s">
        <v>6</v>
      </c>
      <c r="K159" s="30" t="s">
        <v>9</v>
      </c>
      <c r="L159" s="30" t="s">
        <v>6</v>
      </c>
      <c r="M159" s="30" t="s">
        <v>10</v>
      </c>
      <c r="N159" s="30" t="s">
        <v>6</v>
      </c>
      <c r="O159" s="30" t="s">
        <v>11</v>
      </c>
      <c r="P159" s="30" t="s">
        <v>6</v>
      </c>
      <c r="Q159" s="30" t="s">
        <v>12</v>
      </c>
      <c r="R159" s="30" t="s">
        <v>6</v>
      </c>
      <c r="S159" s="30" t="s">
        <v>13</v>
      </c>
      <c r="T159" s="50" t="s">
        <v>6</v>
      </c>
    </row>
    <row r="160" spans="1:20" s="45" customFormat="1" ht="171.6">
      <c r="A160" s="51" t="s">
        <v>795</v>
      </c>
      <c r="B160" s="56">
        <v>3</v>
      </c>
      <c r="C160" s="56">
        <v>8</v>
      </c>
      <c r="D160" s="57">
        <v>29</v>
      </c>
      <c r="E160" s="29" t="s">
        <v>1188</v>
      </c>
      <c r="F160" s="63" t="s">
        <v>19</v>
      </c>
      <c r="G160" s="29" t="s">
        <v>1189</v>
      </c>
      <c r="H160" s="64" t="s">
        <v>1151</v>
      </c>
      <c r="I160" s="29" t="s">
        <v>1190</v>
      </c>
      <c r="J160" s="63" t="s">
        <v>19</v>
      </c>
      <c r="K160" s="29" t="s">
        <v>1191</v>
      </c>
      <c r="L160" s="37" t="s">
        <v>1143</v>
      </c>
      <c r="M160" s="29" t="s">
        <v>1192</v>
      </c>
      <c r="N160" s="26" t="s">
        <v>19</v>
      </c>
      <c r="O160" s="29" t="s">
        <v>1193</v>
      </c>
      <c r="P160" s="26" t="s">
        <v>19</v>
      </c>
      <c r="Q160" s="29" t="s">
        <v>128</v>
      </c>
      <c r="R160" s="26" t="s">
        <v>19</v>
      </c>
      <c r="S160" s="29"/>
      <c r="T160" s="50"/>
    </row>
    <row r="161" spans="1:20" s="45" customFormat="1">
      <c r="A161" s="55"/>
      <c r="B161" s="55"/>
      <c r="C161" s="55"/>
      <c r="D161" s="55"/>
      <c r="E161" s="93" t="s">
        <v>449</v>
      </c>
      <c r="F161" s="94"/>
      <c r="G161" s="94"/>
      <c r="H161" s="94"/>
      <c r="I161" s="94"/>
      <c r="J161" s="94"/>
      <c r="K161" s="94"/>
      <c r="L161" s="94"/>
      <c r="M161" s="94"/>
      <c r="N161" s="94"/>
      <c r="O161" s="94"/>
      <c r="P161" s="94"/>
      <c r="Q161" s="94"/>
      <c r="R161" s="94"/>
      <c r="S161" s="94"/>
      <c r="T161" s="95"/>
    </row>
    <row r="162" spans="1:20" s="45" customFormat="1">
      <c r="A162" s="55"/>
      <c r="B162" s="55"/>
      <c r="C162" s="55"/>
      <c r="D162" s="55"/>
      <c r="E162" s="46" t="s">
        <v>5</v>
      </c>
      <c r="F162" s="30" t="s">
        <v>6</v>
      </c>
      <c r="G162" s="30" t="s">
        <v>7</v>
      </c>
      <c r="H162" s="30" t="s">
        <v>6</v>
      </c>
      <c r="I162" s="30" t="s">
        <v>8</v>
      </c>
      <c r="J162" s="30" t="s">
        <v>6</v>
      </c>
      <c r="K162" s="30" t="s">
        <v>9</v>
      </c>
      <c r="L162" s="30" t="s">
        <v>6</v>
      </c>
      <c r="M162" s="30" t="s">
        <v>10</v>
      </c>
      <c r="N162" s="30" t="s">
        <v>6</v>
      </c>
      <c r="O162" s="30" t="s">
        <v>11</v>
      </c>
      <c r="P162" s="30" t="s">
        <v>6</v>
      </c>
      <c r="Q162" s="30" t="s">
        <v>12</v>
      </c>
      <c r="R162" s="30" t="s">
        <v>6</v>
      </c>
      <c r="S162" s="30" t="s">
        <v>13</v>
      </c>
      <c r="T162" s="50" t="s">
        <v>6</v>
      </c>
    </row>
    <row r="163" spans="1:20" s="45" customFormat="1" ht="198">
      <c r="A163" s="51" t="s">
        <v>795</v>
      </c>
      <c r="B163" s="56">
        <v>3</v>
      </c>
      <c r="C163" s="56">
        <v>9</v>
      </c>
      <c r="D163" s="57">
        <v>3</v>
      </c>
      <c r="E163" s="29" t="s">
        <v>1194</v>
      </c>
      <c r="F163" s="36" t="s">
        <v>1195</v>
      </c>
      <c r="G163" s="29" t="s">
        <v>1196</v>
      </c>
      <c r="H163" s="26"/>
      <c r="I163" s="29" t="s">
        <v>1197</v>
      </c>
      <c r="J163" s="26"/>
      <c r="K163" s="29" t="s">
        <v>1198</v>
      </c>
      <c r="L163" s="26"/>
      <c r="M163" s="29" t="s">
        <v>1199</v>
      </c>
      <c r="N163" s="26" t="s">
        <v>1200</v>
      </c>
      <c r="O163" s="29" t="s">
        <v>1201</v>
      </c>
      <c r="P163" s="26" t="s">
        <v>1202</v>
      </c>
      <c r="Q163" s="29" t="s">
        <v>1203</v>
      </c>
      <c r="R163" s="26"/>
      <c r="S163" s="29"/>
      <c r="T163" s="50"/>
    </row>
    <row r="164" spans="1:20" s="45" customFormat="1">
      <c r="A164" s="55"/>
      <c r="B164" s="55"/>
      <c r="C164" s="55"/>
      <c r="D164" s="55"/>
      <c r="E164" s="93" t="s">
        <v>449</v>
      </c>
      <c r="F164" s="94"/>
      <c r="G164" s="94"/>
      <c r="H164" s="94"/>
      <c r="I164" s="94"/>
      <c r="J164" s="94"/>
      <c r="K164" s="94"/>
      <c r="L164" s="94"/>
      <c r="M164" s="94"/>
      <c r="N164" s="94"/>
      <c r="O164" s="94"/>
      <c r="P164" s="94"/>
      <c r="Q164" s="94"/>
      <c r="R164" s="94"/>
      <c r="S164" s="94"/>
      <c r="T164" s="95"/>
    </row>
    <row r="165" spans="1:20" s="45" customFormat="1">
      <c r="A165" s="55"/>
      <c r="B165" s="55"/>
      <c r="C165" s="55"/>
      <c r="D165" s="55"/>
      <c r="E165" s="46" t="s">
        <v>5</v>
      </c>
      <c r="F165" s="30" t="s">
        <v>6</v>
      </c>
      <c r="G165" s="30" t="s">
        <v>7</v>
      </c>
      <c r="H165" s="30" t="s">
        <v>6</v>
      </c>
      <c r="I165" s="30" t="s">
        <v>8</v>
      </c>
      <c r="J165" s="30" t="s">
        <v>6</v>
      </c>
      <c r="K165" s="30" t="s">
        <v>9</v>
      </c>
      <c r="L165" s="30" t="s">
        <v>6</v>
      </c>
      <c r="M165" s="30" t="s">
        <v>10</v>
      </c>
      <c r="N165" s="30" t="s">
        <v>6</v>
      </c>
      <c r="O165" s="30" t="s">
        <v>11</v>
      </c>
      <c r="P165" s="30" t="s">
        <v>6</v>
      </c>
      <c r="Q165" s="30" t="s">
        <v>12</v>
      </c>
      <c r="R165" s="30" t="s">
        <v>6</v>
      </c>
      <c r="S165" s="30" t="s">
        <v>13</v>
      </c>
      <c r="T165" s="50" t="s">
        <v>6</v>
      </c>
    </row>
    <row r="166" spans="1:20" s="45" customFormat="1" ht="237.6">
      <c r="A166" s="51" t="s">
        <v>795</v>
      </c>
      <c r="B166" s="56">
        <v>3</v>
      </c>
      <c r="C166" s="56">
        <v>9</v>
      </c>
      <c r="D166" s="57">
        <v>7</v>
      </c>
      <c r="E166" s="29" t="s">
        <v>1204</v>
      </c>
      <c r="F166" s="36" t="s">
        <v>1195</v>
      </c>
      <c r="G166" s="29" t="s">
        <v>1205</v>
      </c>
      <c r="H166" s="26"/>
      <c r="I166" s="29" t="s">
        <v>1206</v>
      </c>
      <c r="J166" s="26"/>
      <c r="K166" s="29" t="s">
        <v>1207</v>
      </c>
      <c r="L166" s="36" t="s">
        <v>1208</v>
      </c>
      <c r="M166" s="29" t="s">
        <v>1209</v>
      </c>
      <c r="N166" s="26" t="s">
        <v>1210</v>
      </c>
      <c r="O166" s="29" t="s">
        <v>1211</v>
      </c>
      <c r="P166" s="26" t="s">
        <v>1212</v>
      </c>
      <c r="Q166" s="29" t="s">
        <v>1213</v>
      </c>
      <c r="R166" s="26"/>
      <c r="S166" s="29"/>
      <c r="T166" s="50"/>
    </row>
    <row r="167" spans="1:20" s="45" customFormat="1">
      <c r="A167" s="55"/>
      <c r="B167" s="55"/>
      <c r="C167" s="55"/>
      <c r="D167" s="55"/>
      <c r="E167" s="93" t="s">
        <v>449</v>
      </c>
      <c r="F167" s="94"/>
      <c r="G167" s="94"/>
      <c r="H167" s="94"/>
      <c r="I167" s="94"/>
      <c r="J167" s="94"/>
      <c r="K167" s="94"/>
      <c r="L167" s="94"/>
      <c r="M167" s="94"/>
      <c r="N167" s="94"/>
      <c r="O167" s="94"/>
      <c r="P167" s="94"/>
      <c r="Q167" s="94"/>
      <c r="R167" s="94"/>
      <c r="S167" s="94"/>
      <c r="T167" s="95"/>
    </row>
    <row r="168" spans="1:20" s="45" customFormat="1">
      <c r="A168" s="55"/>
      <c r="B168" s="55"/>
      <c r="C168" s="55"/>
      <c r="D168" s="55"/>
      <c r="E168" s="46" t="s">
        <v>5</v>
      </c>
      <c r="F168" s="30" t="s">
        <v>6</v>
      </c>
      <c r="G168" s="30" t="s">
        <v>7</v>
      </c>
      <c r="H168" s="30" t="s">
        <v>6</v>
      </c>
      <c r="I168" s="30" t="s">
        <v>8</v>
      </c>
      <c r="J168" s="30" t="s">
        <v>6</v>
      </c>
      <c r="K168" s="30" t="s">
        <v>9</v>
      </c>
      <c r="L168" s="30" t="s">
        <v>6</v>
      </c>
      <c r="M168" s="30" t="s">
        <v>10</v>
      </c>
      <c r="N168" s="30" t="s">
        <v>6</v>
      </c>
      <c r="O168" s="30" t="s">
        <v>11</v>
      </c>
      <c r="P168" s="30" t="s">
        <v>6</v>
      </c>
      <c r="Q168" s="30" t="s">
        <v>12</v>
      </c>
      <c r="R168" s="30" t="s">
        <v>6</v>
      </c>
      <c r="S168" s="30" t="s">
        <v>13</v>
      </c>
      <c r="T168" s="50" t="s">
        <v>6</v>
      </c>
    </row>
    <row r="169" spans="1:20" s="45" customFormat="1" ht="184.9">
      <c r="A169" s="51" t="s">
        <v>795</v>
      </c>
      <c r="B169" s="56">
        <v>3</v>
      </c>
      <c r="C169" s="56">
        <v>9</v>
      </c>
      <c r="D169" s="57">
        <v>11</v>
      </c>
      <c r="E169" s="29" t="s">
        <v>1214</v>
      </c>
      <c r="F169" s="36" t="s">
        <v>1195</v>
      </c>
      <c r="G169" s="29" t="s">
        <v>1215</v>
      </c>
      <c r="H169" s="26"/>
      <c r="I169" s="29" t="s">
        <v>1206</v>
      </c>
      <c r="J169" s="26"/>
      <c r="K169" s="29" t="s">
        <v>1216</v>
      </c>
      <c r="L169" s="26"/>
      <c r="M169" s="29" t="s">
        <v>1217</v>
      </c>
      <c r="N169" s="26" t="s">
        <v>1218</v>
      </c>
      <c r="O169" s="29" t="s">
        <v>1219</v>
      </c>
      <c r="P169" s="26"/>
      <c r="Q169" s="29" t="s">
        <v>1220</v>
      </c>
      <c r="R169" s="26"/>
      <c r="S169" s="29"/>
      <c r="T169" s="50"/>
    </row>
    <row r="170" spans="1:20" s="45" customFormat="1">
      <c r="A170" s="55"/>
      <c r="B170" s="55"/>
      <c r="C170" s="55"/>
      <c r="D170" s="55"/>
      <c r="E170" s="93" t="s">
        <v>449</v>
      </c>
      <c r="F170" s="94"/>
      <c r="G170" s="94"/>
      <c r="H170" s="94"/>
      <c r="I170" s="94"/>
      <c r="J170" s="94"/>
      <c r="K170" s="94"/>
      <c r="L170" s="94"/>
      <c r="M170" s="94"/>
      <c r="N170" s="94"/>
      <c r="O170" s="94"/>
      <c r="P170" s="94"/>
      <c r="Q170" s="94"/>
      <c r="R170" s="94"/>
      <c r="S170" s="94"/>
      <c r="T170" s="95"/>
    </row>
    <row r="171" spans="1:20" s="45" customFormat="1">
      <c r="A171" s="55"/>
      <c r="B171" s="55"/>
      <c r="C171" s="55"/>
      <c r="D171" s="55"/>
      <c r="E171" s="46" t="s">
        <v>5</v>
      </c>
      <c r="F171" s="30" t="s">
        <v>6</v>
      </c>
      <c r="G171" s="30" t="s">
        <v>7</v>
      </c>
      <c r="H171" s="30" t="s">
        <v>6</v>
      </c>
      <c r="I171" s="30" t="s">
        <v>8</v>
      </c>
      <c r="J171" s="30" t="s">
        <v>6</v>
      </c>
      <c r="K171" s="30" t="s">
        <v>9</v>
      </c>
      <c r="L171" s="30" t="s">
        <v>6</v>
      </c>
      <c r="M171" s="30" t="s">
        <v>10</v>
      </c>
      <c r="N171" s="30" t="s">
        <v>6</v>
      </c>
      <c r="O171" s="30" t="s">
        <v>11</v>
      </c>
      <c r="P171" s="30" t="s">
        <v>6</v>
      </c>
      <c r="Q171" s="30" t="s">
        <v>12</v>
      </c>
      <c r="R171" s="30" t="s">
        <v>6</v>
      </c>
      <c r="S171" s="30" t="s">
        <v>13</v>
      </c>
      <c r="T171" s="50" t="s">
        <v>6</v>
      </c>
    </row>
    <row r="172" spans="1:20" s="45" customFormat="1" ht="211.15">
      <c r="A172" s="51" t="s">
        <v>795</v>
      </c>
      <c r="B172" s="56">
        <v>3</v>
      </c>
      <c r="C172" s="56">
        <v>9</v>
      </c>
      <c r="D172" s="57">
        <v>15</v>
      </c>
      <c r="E172" s="29" t="s">
        <v>1221</v>
      </c>
      <c r="F172" s="36" t="s">
        <v>1195</v>
      </c>
      <c r="G172" s="29" t="s">
        <v>1222</v>
      </c>
      <c r="H172" s="26"/>
      <c r="I172" s="29" t="s">
        <v>1223</v>
      </c>
      <c r="J172" s="36"/>
      <c r="K172" s="29" t="s">
        <v>1224</v>
      </c>
      <c r="L172" s="36" t="s">
        <v>1208</v>
      </c>
      <c r="M172" s="29" t="s">
        <v>1225</v>
      </c>
      <c r="N172" s="26" t="s">
        <v>1226</v>
      </c>
      <c r="O172" s="29" t="s">
        <v>1227</v>
      </c>
      <c r="P172" s="26"/>
      <c r="Q172" s="29" t="s">
        <v>1228</v>
      </c>
      <c r="R172" s="26"/>
      <c r="S172" s="29"/>
      <c r="T172" s="50"/>
    </row>
    <row r="173" spans="1:20" s="45" customFormat="1">
      <c r="A173" s="55"/>
      <c r="B173" s="55"/>
      <c r="C173" s="55"/>
      <c r="D173" s="55"/>
      <c r="E173" s="93" t="s">
        <v>449</v>
      </c>
      <c r="F173" s="94"/>
      <c r="G173" s="94"/>
      <c r="H173" s="94"/>
      <c r="I173" s="94"/>
      <c r="J173" s="94"/>
      <c r="K173" s="94"/>
      <c r="L173" s="94"/>
      <c r="M173" s="94"/>
      <c r="N173" s="94"/>
      <c r="O173" s="94"/>
      <c r="P173" s="94"/>
      <c r="Q173" s="94"/>
      <c r="R173" s="94"/>
      <c r="S173" s="94"/>
      <c r="T173" s="95"/>
    </row>
    <row r="174" spans="1:20" s="45" customFormat="1">
      <c r="A174" s="55"/>
      <c r="B174" s="55"/>
      <c r="C174" s="55"/>
      <c r="D174" s="55"/>
      <c r="E174" s="46" t="s">
        <v>5</v>
      </c>
      <c r="F174" s="30" t="s">
        <v>6</v>
      </c>
      <c r="G174" s="30" t="s">
        <v>7</v>
      </c>
      <c r="H174" s="30" t="s">
        <v>6</v>
      </c>
      <c r="I174" s="30" t="s">
        <v>8</v>
      </c>
      <c r="J174" s="30" t="s">
        <v>6</v>
      </c>
      <c r="K174" s="30" t="s">
        <v>9</v>
      </c>
      <c r="L174" s="30" t="s">
        <v>6</v>
      </c>
      <c r="M174" s="30" t="s">
        <v>10</v>
      </c>
      <c r="N174" s="30" t="s">
        <v>6</v>
      </c>
      <c r="O174" s="30" t="s">
        <v>11</v>
      </c>
      <c r="P174" s="30" t="s">
        <v>6</v>
      </c>
      <c r="Q174" s="30" t="s">
        <v>12</v>
      </c>
      <c r="R174" s="30" t="s">
        <v>6</v>
      </c>
      <c r="S174" s="30" t="s">
        <v>13</v>
      </c>
      <c r="T174" s="50" t="s">
        <v>6</v>
      </c>
    </row>
    <row r="175" spans="1:20" s="45" customFormat="1" ht="211.15">
      <c r="A175" s="51" t="s">
        <v>795</v>
      </c>
      <c r="B175" s="56">
        <v>3</v>
      </c>
      <c r="C175" s="56">
        <v>9</v>
      </c>
      <c r="D175" s="57">
        <v>25</v>
      </c>
      <c r="E175" s="29" t="s">
        <v>1229</v>
      </c>
      <c r="F175" s="36" t="s">
        <v>1195</v>
      </c>
      <c r="G175" s="29" t="s">
        <v>1230</v>
      </c>
      <c r="H175" s="26"/>
      <c r="I175" s="29" t="s">
        <v>1231</v>
      </c>
      <c r="J175" s="26"/>
      <c r="K175" s="29" t="s">
        <v>1232</v>
      </c>
      <c r="L175" s="26"/>
      <c r="M175" s="29" t="s">
        <v>1233</v>
      </c>
      <c r="N175" s="26" t="s">
        <v>1226</v>
      </c>
      <c r="O175" s="29" t="s">
        <v>1234</v>
      </c>
      <c r="P175" s="26"/>
      <c r="Q175" s="29" t="s">
        <v>1235</v>
      </c>
      <c r="R175" s="36" t="s">
        <v>1236</v>
      </c>
      <c r="S175" s="29"/>
      <c r="T175" s="50"/>
    </row>
    <row r="176" spans="1:20" s="45" customFormat="1">
      <c r="A176" s="55"/>
      <c r="B176" s="55"/>
      <c r="C176" s="55"/>
      <c r="D176" s="55"/>
      <c r="E176" s="93" t="s">
        <v>449</v>
      </c>
      <c r="F176" s="94"/>
      <c r="G176" s="94"/>
      <c r="H176" s="94"/>
      <c r="I176" s="94"/>
      <c r="J176" s="94"/>
      <c r="K176" s="94"/>
      <c r="L176" s="94"/>
      <c r="M176" s="94"/>
      <c r="N176" s="94"/>
      <c r="O176" s="94"/>
      <c r="P176" s="94"/>
      <c r="Q176" s="94"/>
      <c r="R176" s="94"/>
      <c r="S176" s="94"/>
      <c r="T176" s="95"/>
    </row>
    <row r="177" spans="1:20" s="45" customFormat="1">
      <c r="A177" s="55"/>
      <c r="B177" s="55"/>
      <c r="C177" s="55"/>
      <c r="D177" s="55"/>
      <c r="E177" s="46" t="s">
        <v>5</v>
      </c>
      <c r="F177" s="30" t="s">
        <v>6</v>
      </c>
      <c r="G177" s="30" t="s">
        <v>7</v>
      </c>
      <c r="H177" s="30" t="s">
        <v>6</v>
      </c>
      <c r="I177" s="30" t="s">
        <v>8</v>
      </c>
      <c r="J177" s="30" t="s">
        <v>6</v>
      </c>
      <c r="K177" s="30" t="s">
        <v>9</v>
      </c>
      <c r="L177" s="30" t="s">
        <v>6</v>
      </c>
      <c r="M177" s="30" t="s">
        <v>10</v>
      </c>
      <c r="N177" s="30" t="s">
        <v>6</v>
      </c>
      <c r="O177" s="30" t="s">
        <v>11</v>
      </c>
      <c r="P177" s="30" t="s">
        <v>6</v>
      </c>
      <c r="Q177" s="30" t="s">
        <v>12</v>
      </c>
      <c r="R177" s="30" t="s">
        <v>6</v>
      </c>
      <c r="S177" s="30" t="s">
        <v>13</v>
      </c>
      <c r="T177" s="50" t="s">
        <v>6</v>
      </c>
    </row>
    <row r="178" spans="1:20" s="45" customFormat="1" ht="198">
      <c r="A178" s="51" t="s">
        <v>795</v>
      </c>
      <c r="B178" s="56">
        <v>3</v>
      </c>
      <c r="C178" s="56">
        <v>9</v>
      </c>
      <c r="D178" s="57">
        <v>28</v>
      </c>
      <c r="E178" s="29" t="s">
        <v>1237</v>
      </c>
      <c r="F178" s="36" t="s">
        <v>1195</v>
      </c>
      <c r="G178" s="29" t="s">
        <v>1238</v>
      </c>
      <c r="H178" s="26"/>
      <c r="I178" s="29" t="s">
        <v>1197</v>
      </c>
      <c r="J178" s="36"/>
      <c r="K178" s="29" t="s">
        <v>1239</v>
      </c>
      <c r="L178" s="26"/>
      <c r="M178" s="29" t="s">
        <v>1240</v>
      </c>
      <c r="N178" s="26" t="s">
        <v>1241</v>
      </c>
      <c r="O178" s="29" t="s">
        <v>1242</v>
      </c>
      <c r="P178" s="26" t="s">
        <v>1243</v>
      </c>
      <c r="Q178" s="29" t="s">
        <v>1244</v>
      </c>
      <c r="R178" s="26"/>
      <c r="S178" s="29"/>
      <c r="T178" s="50"/>
    </row>
    <row r="179" spans="1:20" s="45" customFormat="1">
      <c r="A179" s="55"/>
      <c r="B179" s="55"/>
      <c r="C179" s="55"/>
      <c r="D179" s="55"/>
      <c r="E179" s="93" t="s">
        <v>449</v>
      </c>
      <c r="F179" s="94"/>
      <c r="G179" s="94"/>
      <c r="H179" s="94"/>
      <c r="I179" s="94"/>
      <c r="J179" s="94"/>
      <c r="K179" s="94"/>
      <c r="L179" s="94"/>
      <c r="M179" s="94"/>
      <c r="N179" s="94"/>
      <c r="O179" s="94"/>
      <c r="P179" s="94"/>
      <c r="Q179" s="94"/>
      <c r="R179" s="94"/>
      <c r="S179" s="94"/>
      <c r="T179" s="95"/>
    </row>
    <row r="180" spans="1:20" s="45" customFormat="1">
      <c r="A180" s="55"/>
      <c r="B180" s="55"/>
      <c r="C180" s="55"/>
      <c r="D180" s="55"/>
      <c r="E180" s="46" t="s">
        <v>5</v>
      </c>
      <c r="F180" s="30" t="s">
        <v>6</v>
      </c>
      <c r="G180" s="30" t="s">
        <v>7</v>
      </c>
      <c r="H180" s="30" t="s">
        <v>6</v>
      </c>
      <c r="I180" s="30" t="s">
        <v>8</v>
      </c>
      <c r="J180" s="30" t="s">
        <v>6</v>
      </c>
      <c r="K180" s="30" t="s">
        <v>9</v>
      </c>
      <c r="L180" s="30" t="s">
        <v>6</v>
      </c>
      <c r="M180" s="30" t="s">
        <v>10</v>
      </c>
      <c r="N180" s="30" t="s">
        <v>6</v>
      </c>
      <c r="O180" s="30" t="s">
        <v>11</v>
      </c>
      <c r="P180" s="30" t="s">
        <v>6</v>
      </c>
      <c r="Q180" s="30" t="s">
        <v>12</v>
      </c>
      <c r="R180" s="30" t="s">
        <v>6</v>
      </c>
      <c r="S180" s="30" t="s">
        <v>13</v>
      </c>
      <c r="T180" s="50" t="s">
        <v>6</v>
      </c>
    </row>
    <row r="181" spans="1:20" s="45" customFormat="1" ht="198">
      <c r="A181" s="51" t="s">
        <v>795</v>
      </c>
      <c r="B181" s="56">
        <v>3</v>
      </c>
      <c r="C181" s="56">
        <v>9</v>
      </c>
      <c r="D181" s="57">
        <v>30</v>
      </c>
      <c r="E181" s="29" t="s">
        <v>1245</v>
      </c>
      <c r="F181" s="36" t="s">
        <v>1195</v>
      </c>
      <c r="G181" s="29" t="s">
        <v>1246</v>
      </c>
      <c r="H181" s="26"/>
      <c r="I181" s="29" t="s">
        <v>1247</v>
      </c>
      <c r="J181" s="26"/>
      <c r="K181" s="29" t="s">
        <v>1248</v>
      </c>
      <c r="L181" s="26"/>
      <c r="M181" s="29" t="s">
        <v>1249</v>
      </c>
      <c r="N181" s="26" t="s">
        <v>1218</v>
      </c>
      <c r="O181" s="29" t="s">
        <v>1250</v>
      </c>
      <c r="P181" s="26" t="s">
        <v>1251</v>
      </c>
      <c r="Q181" s="29" t="s">
        <v>1252</v>
      </c>
      <c r="R181" s="26"/>
      <c r="S181" s="29"/>
      <c r="T181" s="50"/>
    </row>
    <row r="182" spans="1:20" s="45" customFormat="1">
      <c r="A182" s="55"/>
      <c r="B182" s="55"/>
      <c r="C182" s="55"/>
      <c r="D182" s="55"/>
      <c r="E182" s="93" t="s">
        <v>507</v>
      </c>
      <c r="F182" s="94"/>
      <c r="G182" s="94"/>
      <c r="H182" s="94"/>
      <c r="I182" s="94"/>
      <c r="J182" s="94"/>
      <c r="K182" s="94"/>
      <c r="L182" s="94"/>
      <c r="M182" s="94"/>
      <c r="N182" s="94"/>
      <c r="O182" s="94"/>
      <c r="P182" s="94"/>
      <c r="Q182" s="94"/>
      <c r="R182" s="94"/>
      <c r="S182" s="94"/>
      <c r="T182" s="95"/>
    </row>
    <row r="183" spans="1:20" s="45" customFormat="1">
      <c r="A183" s="55"/>
      <c r="B183" s="55"/>
      <c r="C183" s="55"/>
      <c r="D183" s="55"/>
      <c r="E183" s="46" t="s">
        <v>5</v>
      </c>
      <c r="F183" s="30" t="s">
        <v>6</v>
      </c>
      <c r="G183" s="30" t="s">
        <v>7</v>
      </c>
      <c r="H183" s="30" t="s">
        <v>6</v>
      </c>
      <c r="I183" s="30" t="s">
        <v>8</v>
      </c>
      <c r="J183" s="30" t="s">
        <v>6</v>
      </c>
      <c r="K183" s="30" t="s">
        <v>9</v>
      </c>
      <c r="L183" s="30" t="s">
        <v>6</v>
      </c>
      <c r="M183" s="30" t="s">
        <v>10</v>
      </c>
      <c r="N183" s="30" t="s">
        <v>6</v>
      </c>
      <c r="O183" s="30" t="s">
        <v>11</v>
      </c>
      <c r="P183" s="30" t="s">
        <v>6</v>
      </c>
      <c r="Q183" s="30" t="s">
        <v>12</v>
      </c>
      <c r="R183" s="30" t="s">
        <v>6</v>
      </c>
      <c r="S183" s="30" t="s">
        <v>13</v>
      </c>
      <c r="T183" s="50" t="s">
        <v>6</v>
      </c>
    </row>
    <row r="184" spans="1:20" s="45" customFormat="1" ht="158.44999999999999">
      <c r="A184" s="51" t="s">
        <v>795</v>
      </c>
      <c r="B184" s="56">
        <v>3</v>
      </c>
      <c r="C184" s="56">
        <v>10</v>
      </c>
      <c r="D184" s="57">
        <v>4</v>
      </c>
      <c r="E184" s="29" t="s">
        <v>1253</v>
      </c>
      <c r="F184" s="63" t="s">
        <v>19</v>
      </c>
      <c r="G184" s="29" t="s">
        <v>1254</v>
      </c>
      <c r="H184" s="63" t="s">
        <v>19</v>
      </c>
      <c r="I184" s="29" t="s">
        <v>1255</v>
      </c>
      <c r="J184" s="36" t="s">
        <v>1256</v>
      </c>
      <c r="K184" s="29" t="s">
        <v>1257</v>
      </c>
      <c r="L184" s="36" t="s">
        <v>1258</v>
      </c>
      <c r="M184" s="29" t="s">
        <v>1259</v>
      </c>
      <c r="N184" s="36" t="s">
        <v>1260</v>
      </c>
      <c r="O184" s="29" t="s">
        <v>1261</v>
      </c>
      <c r="P184" s="63" t="s">
        <v>19</v>
      </c>
      <c r="Q184" s="29" t="s">
        <v>1262</v>
      </c>
      <c r="R184" s="63" t="s">
        <v>19</v>
      </c>
      <c r="S184" s="29"/>
      <c r="T184" s="50"/>
    </row>
    <row r="185" spans="1:20" s="45" customFormat="1">
      <c r="A185" s="55"/>
      <c r="B185" s="55"/>
      <c r="C185" s="55"/>
      <c r="D185" s="55"/>
      <c r="E185" s="93" t="s">
        <v>507</v>
      </c>
      <c r="F185" s="94"/>
      <c r="G185" s="94"/>
      <c r="H185" s="94"/>
      <c r="I185" s="94"/>
      <c r="J185" s="94"/>
      <c r="K185" s="94"/>
      <c r="L185" s="94"/>
      <c r="M185" s="94"/>
      <c r="N185" s="94"/>
      <c r="O185" s="94"/>
      <c r="P185" s="94"/>
      <c r="Q185" s="94"/>
      <c r="R185" s="94"/>
      <c r="S185" s="94"/>
      <c r="T185" s="95"/>
    </row>
    <row r="186" spans="1:20" s="45" customFormat="1">
      <c r="A186" s="55"/>
      <c r="B186" s="55"/>
      <c r="C186" s="55"/>
      <c r="D186" s="55"/>
      <c r="E186" s="46" t="s">
        <v>5</v>
      </c>
      <c r="F186" s="30" t="s">
        <v>6</v>
      </c>
      <c r="G186" s="30" t="s">
        <v>7</v>
      </c>
      <c r="H186" s="30" t="s">
        <v>6</v>
      </c>
      <c r="I186" s="30" t="s">
        <v>8</v>
      </c>
      <c r="J186" s="30" t="s">
        <v>6</v>
      </c>
      <c r="K186" s="30" t="s">
        <v>9</v>
      </c>
      <c r="L186" s="30" t="s">
        <v>6</v>
      </c>
      <c r="M186" s="30" t="s">
        <v>10</v>
      </c>
      <c r="N186" s="30" t="s">
        <v>6</v>
      </c>
      <c r="O186" s="30" t="s">
        <v>11</v>
      </c>
      <c r="P186" s="30" t="s">
        <v>6</v>
      </c>
      <c r="Q186" s="30" t="s">
        <v>12</v>
      </c>
      <c r="R186" s="30" t="s">
        <v>6</v>
      </c>
      <c r="S186" s="30" t="s">
        <v>13</v>
      </c>
      <c r="T186" s="50" t="s">
        <v>6</v>
      </c>
    </row>
    <row r="187" spans="1:20" s="45" customFormat="1" ht="158.44999999999999">
      <c r="A187" s="51" t="s">
        <v>795</v>
      </c>
      <c r="B187" s="56">
        <v>3</v>
      </c>
      <c r="C187" s="56">
        <v>10</v>
      </c>
      <c r="D187" s="57">
        <v>8</v>
      </c>
      <c r="E187" s="29" t="s">
        <v>1263</v>
      </c>
      <c r="F187" s="63" t="s">
        <v>19</v>
      </c>
      <c r="G187" s="29" t="s">
        <v>1264</v>
      </c>
      <c r="H187" s="63" t="s">
        <v>19</v>
      </c>
      <c r="I187" s="29" t="s">
        <v>1265</v>
      </c>
      <c r="J187" s="36" t="s">
        <v>1266</v>
      </c>
      <c r="K187" s="29" t="s">
        <v>1267</v>
      </c>
      <c r="L187" s="36" t="s">
        <v>1268</v>
      </c>
      <c r="M187" s="29" t="s">
        <v>1269</v>
      </c>
      <c r="N187" s="36" t="s">
        <v>1270</v>
      </c>
      <c r="O187" s="29" t="s">
        <v>1271</v>
      </c>
      <c r="P187" s="63" t="s">
        <v>19</v>
      </c>
      <c r="Q187" s="29" t="s">
        <v>1272</v>
      </c>
      <c r="R187" s="36" t="s">
        <v>1273</v>
      </c>
      <c r="S187" s="29"/>
      <c r="T187" s="50"/>
    </row>
    <row r="188" spans="1:20" s="45" customFormat="1">
      <c r="A188" s="55"/>
      <c r="B188" s="55"/>
      <c r="C188" s="55"/>
      <c r="D188" s="55"/>
      <c r="E188" s="93" t="s">
        <v>507</v>
      </c>
      <c r="F188" s="94"/>
      <c r="G188" s="94"/>
      <c r="H188" s="94"/>
      <c r="I188" s="94"/>
      <c r="J188" s="94"/>
      <c r="K188" s="94"/>
      <c r="L188" s="94"/>
      <c r="M188" s="94"/>
      <c r="N188" s="94"/>
      <c r="O188" s="94"/>
      <c r="P188" s="94"/>
      <c r="Q188" s="94"/>
      <c r="R188" s="94"/>
      <c r="S188" s="94"/>
      <c r="T188" s="95"/>
    </row>
    <row r="189" spans="1:20" s="45" customFormat="1">
      <c r="A189" s="55"/>
      <c r="B189" s="55"/>
      <c r="C189" s="55"/>
      <c r="D189" s="55"/>
      <c r="E189" s="46" t="s">
        <v>5</v>
      </c>
      <c r="F189" s="30" t="s">
        <v>6</v>
      </c>
      <c r="G189" s="30" t="s">
        <v>7</v>
      </c>
      <c r="H189" s="30" t="s">
        <v>6</v>
      </c>
      <c r="I189" s="30" t="s">
        <v>8</v>
      </c>
      <c r="J189" s="30" t="s">
        <v>6</v>
      </c>
      <c r="K189" s="30" t="s">
        <v>9</v>
      </c>
      <c r="L189" s="30" t="s">
        <v>6</v>
      </c>
      <c r="M189" s="30" t="s">
        <v>10</v>
      </c>
      <c r="N189" s="30" t="s">
        <v>6</v>
      </c>
      <c r="O189" s="30" t="s">
        <v>11</v>
      </c>
      <c r="P189" s="30" t="s">
        <v>6</v>
      </c>
      <c r="Q189" s="30" t="s">
        <v>12</v>
      </c>
      <c r="R189" s="30" t="s">
        <v>6</v>
      </c>
      <c r="S189" s="30" t="s">
        <v>13</v>
      </c>
      <c r="T189" s="50" t="s">
        <v>6</v>
      </c>
    </row>
    <row r="190" spans="1:20" s="45" customFormat="1" ht="158.44999999999999">
      <c r="A190" s="51" t="s">
        <v>795</v>
      </c>
      <c r="B190" s="56">
        <v>3</v>
      </c>
      <c r="C190" s="56">
        <v>10</v>
      </c>
      <c r="D190" s="57">
        <v>13</v>
      </c>
      <c r="E190" s="29" t="s">
        <v>1274</v>
      </c>
      <c r="F190" s="63" t="s">
        <v>19</v>
      </c>
      <c r="G190" s="29" t="s">
        <v>1275</v>
      </c>
      <c r="H190" s="63" t="s">
        <v>19</v>
      </c>
      <c r="I190" s="29" t="s">
        <v>1276</v>
      </c>
      <c r="J190" s="36" t="s">
        <v>1277</v>
      </c>
      <c r="K190" s="29" t="s">
        <v>1278</v>
      </c>
      <c r="L190" s="36" t="s">
        <v>1279</v>
      </c>
      <c r="M190" s="29" t="s">
        <v>1280</v>
      </c>
      <c r="N190" s="36" t="s">
        <v>1281</v>
      </c>
      <c r="O190" s="29" t="s">
        <v>1282</v>
      </c>
      <c r="P190" s="63" t="s">
        <v>19</v>
      </c>
      <c r="Q190" s="29" t="s">
        <v>1283</v>
      </c>
      <c r="R190" s="36" t="s">
        <v>1284</v>
      </c>
      <c r="S190" s="29"/>
      <c r="T190" s="50"/>
    </row>
    <row r="191" spans="1:20" s="45" customFormat="1">
      <c r="A191" s="55"/>
      <c r="B191" s="55"/>
      <c r="C191" s="55"/>
      <c r="D191" s="55"/>
      <c r="E191" s="93" t="s">
        <v>507</v>
      </c>
      <c r="F191" s="94"/>
      <c r="G191" s="94"/>
      <c r="H191" s="94"/>
      <c r="I191" s="94"/>
      <c r="J191" s="94"/>
      <c r="K191" s="94"/>
      <c r="L191" s="94"/>
      <c r="M191" s="94"/>
      <c r="N191" s="94"/>
      <c r="O191" s="94"/>
      <c r="P191" s="94"/>
      <c r="Q191" s="94"/>
      <c r="R191" s="94"/>
      <c r="S191" s="94"/>
      <c r="T191" s="95"/>
    </row>
    <row r="192" spans="1:20" s="45" customFormat="1">
      <c r="A192" s="55"/>
      <c r="B192" s="55"/>
      <c r="C192" s="55"/>
      <c r="D192" s="55"/>
      <c r="E192" s="46" t="s">
        <v>5</v>
      </c>
      <c r="F192" s="30" t="s">
        <v>6</v>
      </c>
      <c r="G192" s="30" t="s">
        <v>7</v>
      </c>
      <c r="H192" s="30" t="s">
        <v>6</v>
      </c>
      <c r="I192" s="30" t="s">
        <v>8</v>
      </c>
      <c r="J192" s="30" t="s">
        <v>6</v>
      </c>
      <c r="K192" s="30" t="s">
        <v>9</v>
      </c>
      <c r="L192" s="30" t="s">
        <v>6</v>
      </c>
      <c r="M192" s="30" t="s">
        <v>10</v>
      </c>
      <c r="N192" s="30" t="s">
        <v>6</v>
      </c>
      <c r="O192" s="30" t="s">
        <v>11</v>
      </c>
      <c r="P192" s="30" t="s">
        <v>6</v>
      </c>
      <c r="Q192" s="30" t="s">
        <v>12</v>
      </c>
      <c r="R192" s="30" t="s">
        <v>6</v>
      </c>
      <c r="S192" s="30" t="s">
        <v>13</v>
      </c>
      <c r="T192" s="50" t="s">
        <v>6</v>
      </c>
    </row>
    <row r="193" spans="1:20" s="45" customFormat="1" ht="184.9">
      <c r="A193" s="51" t="s">
        <v>795</v>
      </c>
      <c r="B193" s="56">
        <v>3</v>
      </c>
      <c r="C193" s="56">
        <v>10</v>
      </c>
      <c r="D193" s="57">
        <v>16</v>
      </c>
      <c r="E193" s="29" t="s">
        <v>1285</v>
      </c>
      <c r="F193" s="63" t="s">
        <v>19</v>
      </c>
      <c r="G193" s="29" t="s">
        <v>1286</v>
      </c>
      <c r="H193" s="63" t="s">
        <v>19</v>
      </c>
      <c r="I193" s="29" t="s">
        <v>1287</v>
      </c>
      <c r="J193" s="36" t="s">
        <v>1288</v>
      </c>
      <c r="K193" s="29" t="s">
        <v>1289</v>
      </c>
      <c r="L193" s="63" t="s">
        <v>19</v>
      </c>
      <c r="M193" s="29" t="s">
        <v>1290</v>
      </c>
      <c r="N193" s="63" t="s">
        <v>19</v>
      </c>
      <c r="O193" s="29" t="s">
        <v>1291</v>
      </c>
      <c r="P193" s="63" t="s">
        <v>19</v>
      </c>
      <c r="Q193" s="29" t="s">
        <v>1292</v>
      </c>
      <c r="R193" s="36" t="s">
        <v>1293</v>
      </c>
      <c r="S193" s="29"/>
      <c r="T193" s="50"/>
    </row>
    <row r="194" spans="1:20" s="45" customFormat="1">
      <c r="A194" s="55"/>
      <c r="B194" s="55"/>
      <c r="C194" s="55"/>
      <c r="D194" s="55"/>
      <c r="E194" s="93" t="s">
        <v>507</v>
      </c>
      <c r="F194" s="94"/>
      <c r="G194" s="94"/>
      <c r="H194" s="94"/>
      <c r="I194" s="94"/>
      <c r="J194" s="94"/>
      <c r="K194" s="94"/>
      <c r="L194" s="94"/>
      <c r="M194" s="94"/>
      <c r="N194" s="94"/>
      <c r="O194" s="94"/>
      <c r="P194" s="94"/>
      <c r="Q194" s="94"/>
      <c r="R194" s="94"/>
      <c r="S194" s="94"/>
      <c r="T194" s="95"/>
    </row>
    <row r="195" spans="1:20" s="45" customFormat="1">
      <c r="A195" s="55"/>
      <c r="B195" s="55"/>
      <c r="C195" s="55"/>
      <c r="D195" s="55"/>
      <c r="E195" s="46" t="s">
        <v>5</v>
      </c>
      <c r="F195" s="30" t="s">
        <v>6</v>
      </c>
      <c r="G195" s="30" t="s">
        <v>7</v>
      </c>
      <c r="H195" s="30" t="s">
        <v>6</v>
      </c>
      <c r="I195" s="30" t="s">
        <v>8</v>
      </c>
      <c r="J195" s="30" t="s">
        <v>6</v>
      </c>
      <c r="K195" s="30" t="s">
        <v>9</v>
      </c>
      <c r="L195" s="30" t="s">
        <v>6</v>
      </c>
      <c r="M195" s="30" t="s">
        <v>10</v>
      </c>
      <c r="N195" s="30" t="s">
        <v>6</v>
      </c>
      <c r="O195" s="30" t="s">
        <v>11</v>
      </c>
      <c r="P195" s="30" t="s">
        <v>6</v>
      </c>
      <c r="Q195" s="30" t="s">
        <v>12</v>
      </c>
      <c r="R195" s="30" t="s">
        <v>6</v>
      </c>
      <c r="S195" s="30" t="s">
        <v>13</v>
      </c>
      <c r="T195" s="50" t="s">
        <v>6</v>
      </c>
    </row>
    <row r="196" spans="1:20" s="45" customFormat="1" ht="158.44999999999999">
      <c r="A196" s="51" t="s">
        <v>795</v>
      </c>
      <c r="B196" s="56">
        <v>3</v>
      </c>
      <c r="C196" s="56">
        <v>10</v>
      </c>
      <c r="D196" s="57">
        <v>22</v>
      </c>
      <c r="E196" s="29" t="s">
        <v>1294</v>
      </c>
      <c r="F196" s="63" t="s">
        <v>19</v>
      </c>
      <c r="G196" s="29" t="s">
        <v>1295</v>
      </c>
      <c r="H196" s="63" t="s">
        <v>19</v>
      </c>
      <c r="I196" s="29" t="s">
        <v>1296</v>
      </c>
      <c r="J196" s="36" t="s">
        <v>1297</v>
      </c>
      <c r="K196" s="29" t="s">
        <v>1298</v>
      </c>
      <c r="L196" s="63" t="s">
        <v>19</v>
      </c>
      <c r="M196" s="29" t="s">
        <v>1299</v>
      </c>
      <c r="N196" s="63" t="s">
        <v>19</v>
      </c>
      <c r="O196" s="29" t="s">
        <v>1300</v>
      </c>
      <c r="P196" s="63" t="s">
        <v>19</v>
      </c>
      <c r="Q196" s="29" t="s">
        <v>1301</v>
      </c>
      <c r="R196" s="63" t="s">
        <v>19</v>
      </c>
      <c r="S196" s="29"/>
      <c r="T196" s="50"/>
    </row>
    <row r="197" spans="1:20" s="45" customFormat="1">
      <c r="A197" s="55"/>
      <c r="B197" s="55"/>
      <c r="C197" s="55"/>
      <c r="D197" s="55"/>
      <c r="E197" s="93" t="s">
        <v>507</v>
      </c>
      <c r="F197" s="94"/>
      <c r="G197" s="94"/>
      <c r="H197" s="94"/>
      <c r="I197" s="94"/>
      <c r="J197" s="94"/>
      <c r="K197" s="94"/>
      <c r="L197" s="94"/>
      <c r="M197" s="94"/>
      <c r="N197" s="94"/>
      <c r="O197" s="94"/>
      <c r="P197" s="94"/>
      <c r="Q197" s="94"/>
      <c r="R197" s="94"/>
      <c r="S197" s="94"/>
      <c r="T197" s="95"/>
    </row>
    <row r="198" spans="1:20" s="45" customFormat="1">
      <c r="A198" s="55"/>
      <c r="B198" s="55"/>
      <c r="C198" s="55"/>
      <c r="D198" s="55"/>
      <c r="E198" s="46" t="s">
        <v>5</v>
      </c>
      <c r="F198" s="30" t="s">
        <v>6</v>
      </c>
      <c r="G198" s="30" t="s">
        <v>7</v>
      </c>
      <c r="H198" s="30" t="s">
        <v>6</v>
      </c>
      <c r="I198" s="30" t="s">
        <v>8</v>
      </c>
      <c r="J198" s="30" t="s">
        <v>6</v>
      </c>
      <c r="K198" s="30" t="s">
        <v>9</v>
      </c>
      <c r="L198" s="30" t="s">
        <v>6</v>
      </c>
      <c r="M198" s="30" t="s">
        <v>10</v>
      </c>
      <c r="N198" s="30" t="s">
        <v>6</v>
      </c>
      <c r="O198" s="30" t="s">
        <v>11</v>
      </c>
      <c r="P198" s="30" t="s">
        <v>6</v>
      </c>
      <c r="Q198" s="30" t="s">
        <v>12</v>
      </c>
      <c r="R198" s="30" t="s">
        <v>6</v>
      </c>
      <c r="S198" s="30" t="s">
        <v>13</v>
      </c>
      <c r="T198" s="50" t="s">
        <v>6</v>
      </c>
    </row>
    <row r="199" spans="1:20" s="45" customFormat="1" ht="158.44999999999999">
      <c r="A199" s="51" t="s">
        <v>795</v>
      </c>
      <c r="B199" s="56">
        <v>3</v>
      </c>
      <c r="C199" s="56">
        <v>10</v>
      </c>
      <c r="D199" s="57">
        <v>26</v>
      </c>
      <c r="E199" s="29" t="s">
        <v>1302</v>
      </c>
      <c r="F199" s="63" t="s">
        <v>19</v>
      </c>
      <c r="G199" s="29" t="s">
        <v>1303</v>
      </c>
      <c r="H199" s="63" t="s">
        <v>19</v>
      </c>
      <c r="I199" s="29" t="s">
        <v>1182</v>
      </c>
      <c r="J199" s="36" t="s">
        <v>1304</v>
      </c>
      <c r="K199" s="29" t="s">
        <v>1305</v>
      </c>
      <c r="L199" s="63" t="s">
        <v>19</v>
      </c>
      <c r="M199" s="29" t="s">
        <v>1306</v>
      </c>
      <c r="N199" s="36" t="s">
        <v>1307</v>
      </c>
      <c r="O199" s="29" t="s">
        <v>1308</v>
      </c>
      <c r="P199" s="63" t="s">
        <v>19</v>
      </c>
      <c r="Q199" s="29" t="s">
        <v>1309</v>
      </c>
      <c r="R199" s="36" t="s">
        <v>1284</v>
      </c>
      <c r="S199" s="29"/>
      <c r="T199" s="50"/>
    </row>
    <row r="200" spans="1:20" s="45" customFormat="1">
      <c r="A200" s="55"/>
      <c r="B200" s="55"/>
      <c r="C200" s="55"/>
      <c r="D200" s="55"/>
      <c r="E200" s="93" t="s">
        <v>507</v>
      </c>
      <c r="F200" s="94"/>
      <c r="G200" s="94"/>
      <c r="H200" s="94"/>
      <c r="I200" s="94"/>
      <c r="J200" s="94"/>
      <c r="K200" s="94"/>
      <c r="L200" s="94"/>
      <c r="M200" s="94"/>
      <c r="N200" s="94"/>
      <c r="O200" s="94"/>
      <c r="P200" s="94"/>
      <c r="Q200" s="94"/>
      <c r="R200" s="94"/>
      <c r="S200" s="94"/>
      <c r="T200" s="95"/>
    </row>
    <row r="201" spans="1:20" s="45" customFormat="1">
      <c r="A201" s="55"/>
      <c r="B201" s="55"/>
      <c r="C201" s="55"/>
      <c r="D201" s="55"/>
      <c r="E201" s="46" t="s">
        <v>5</v>
      </c>
      <c r="F201" s="30" t="s">
        <v>6</v>
      </c>
      <c r="G201" s="30" t="s">
        <v>7</v>
      </c>
      <c r="H201" s="30" t="s">
        <v>6</v>
      </c>
      <c r="I201" s="30" t="s">
        <v>8</v>
      </c>
      <c r="J201" s="30" t="s">
        <v>6</v>
      </c>
      <c r="K201" s="30" t="s">
        <v>9</v>
      </c>
      <c r="L201" s="30" t="s">
        <v>6</v>
      </c>
      <c r="M201" s="30" t="s">
        <v>10</v>
      </c>
      <c r="N201" s="30" t="s">
        <v>6</v>
      </c>
      <c r="O201" s="30" t="s">
        <v>11</v>
      </c>
      <c r="P201" s="30" t="s">
        <v>6</v>
      </c>
      <c r="Q201" s="30" t="s">
        <v>12</v>
      </c>
      <c r="R201" s="30" t="s">
        <v>6</v>
      </c>
      <c r="S201" s="30" t="s">
        <v>13</v>
      </c>
      <c r="T201" s="50" t="s">
        <v>6</v>
      </c>
    </row>
    <row r="202" spans="1:20" s="45" customFormat="1" ht="184.9">
      <c r="A202" s="51" t="s">
        <v>795</v>
      </c>
      <c r="B202" s="56">
        <v>3</v>
      </c>
      <c r="C202" s="56">
        <v>10</v>
      </c>
      <c r="D202" s="57">
        <v>28</v>
      </c>
      <c r="E202" s="29" t="s">
        <v>1310</v>
      </c>
      <c r="F202" s="63" t="s">
        <v>19</v>
      </c>
      <c r="G202" s="29" t="s">
        <v>1311</v>
      </c>
      <c r="H202" s="63" t="s">
        <v>19</v>
      </c>
      <c r="I202" s="29" t="s">
        <v>1312</v>
      </c>
      <c r="J202" s="36" t="s">
        <v>1313</v>
      </c>
      <c r="K202" s="29" t="s">
        <v>1314</v>
      </c>
      <c r="L202" s="36" t="s">
        <v>1315</v>
      </c>
      <c r="M202" s="29" t="s">
        <v>1316</v>
      </c>
      <c r="N202" s="36" t="s">
        <v>1317</v>
      </c>
      <c r="O202" s="29" t="s">
        <v>1318</v>
      </c>
      <c r="P202" s="63" t="s">
        <v>19</v>
      </c>
      <c r="Q202" s="29" t="s">
        <v>1319</v>
      </c>
      <c r="R202" s="36" t="s">
        <v>1320</v>
      </c>
      <c r="S202" s="29"/>
      <c r="T202" s="50"/>
    </row>
    <row r="203" spans="1:20" s="45" customFormat="1">
      <c r="A203" s="55"/>
      <c r="B203" s="55"/>
      <c r="C203" s="55"/>
      <c r="D203" s="55"/>
      <c r="E203" s="93" t="s">
        <v>507</v>
      </c>
      <c r="F203" s="94"/>
      <c r="G203" s="94"/>
      <c r="H203" s="94"/>
      <c r="I203" s="94"/>
      <c r="J203" s="94"/>
      <c r="K203" s="94"/>
      <c r="L203" s="94"/>
      <c r="M203" s="94"/>
      <c r="N203" s="94"/>
      <c r="O203" s="94"/>
      <c r="P203" s="94"/>
      <c r="Q203" s="94"/>
      <c r="R203" s="94"/>
      <c r="S203" s="94"/>
      <c r="T203" s="95"/>
    </row>
    <row r="204" spans="1:20" s="45" customFormat="1">
      <c r="A204" s="55"/>
      <c r="B204" s="55"/>
      <c r="C204" s="55"/>
      <c r="D204" s="55"/>
      <c r="E204" s="46" t="s">
        <v>5</v>
      </c>
      <c r="F204" s="30" t="s">
        <v>6</v>
      </c>
      <c r="G204" s="30" t="s">
        <v>7</v>
      </c>
      <c r="H204" s="30" t="s">
        <v>6</v>
      </c>
      <c r="I204" s="30" t="s">
        <v>8</v>
      </c>
      <c r="J204" s="30" t="s">
        <v>6</v>
      </c>
      <c r="K204" s="30" t="s">
        <v>9</v>
      </c>
      <c r="L204" s="30" t="s">
        <v>6</v>
      </c>
      <c r="M204" s="30" t="s">
        <v>10</v>
      </c>
      <c r="N204" s="30" t="s">
        <v>6</v>
      </c>
      <c r="O204" s="30" t="s">
        <v>11</v>
      </c>
      <c r="P204" s="30" t="s">
        <v>6</v>
      </c>
      <c r="Q204" s="30" t="s">
        <v>12</v>
      </c>
      <c r="R204" s="30" t="s">
        <v>6</v>
      </c>
      <c r="S204" s="30" t="s">
        <v>13</v>
      </c>
      <c r="T204" s="50" t="s">
        <v>6</v>
      </c>
    </row>
    <row r="205" spans="1:20" s="45" customFormat="1" ht="184.9">
      <c r="A205" s="51" t="s">
        <v>795</v>
      </c>
      <c r="B205" s="56">
        <v>3</v>
      </c>
      <c r="C205" s="56">
        <v>10</v>
      </c>
      <c r="D205" s="57">
        <v>29</v>
      </c>
      <c r="E205" s="29" t="s">
        <v>1321</v>
      </c>
      <c r="F205" s="63" t="s">
        <v>19</v>
      </c>
      <c r="G205" s="29" t="s">
        <v>1322</v>
      </c>
      <c r="H205" s="63" t="s">
        <v>19</v>
      </c>
      <c r="I205" s="29" t="s">
        <v>1323</v>
      </c>
      <c r="J205" s="63" t="s">
        <v>19</v>
      </c>
      <c r="K205" s="29" t="s">
        <v>1324</v>
      </c>
      <c r="L205" s="36" t="s">
        <v>1325</v>
      </c>
      <c r="M205" s="29" t="s">
        <v>1326</v>
      </c>
      <c r="N205" s="63" t="s">
        <v>19</v>
      </c>
      <c r="O205" s="29" t="s">
        <v>1327</v>
      </c>
      <c r="P205" s="63" t="s">
        <v>19</v>
      </c>
      <c r="Q205" s="29" t="s">
        <v>1328</v>
      </c>
      <c r="R205" s="36" t="s">
        <v>1329</v>
      </c>
      <c r="S205" s="29"/>
      <c r="T205" s="50"/>
    </row>
    <row r="206" spans="1:20" s="45" customFormat="1">
      <c r="A206" s="55"/>
      <c r="B206" s="55"/>
      <c r="C206" s="55"/>
      <c r="D206" s="55"/>
      <c r="E206" s="93" t="s">
        <v>603</v>
      </c>
      <c r="F206" s="94"/>
      <c r="G206" s="94"/>
      <c r="H206" s="94"/>
      <c r="I206" s="94"/>
      <c r="J206" s="94"/>
      <c r="K206" s="94"/>
      <c r="L206" s="94"/>
      <c r="M206" s="94"/>
      <c r="N206" s="94"/>
      <c r="O206" s="94"/>
      <c r="P206" s="94"/>
      <c r="Q206" s="94"/>
      <c r="R206" s="94"/>
      <c r="S206" s="94"/>
      <c r="T206" s="95"/>
    </row>
    <row r="207" spans="1:20" s="45" customFormat="1">
      <c r="A207" s="55"/>
      <c r="B207" s="55"/>
      <c r="C207" s="55"/>
      <c r="D207" s="55"/>
      <c r="E207" s="46" t="s">
        <v>5</v>
      </c>
      <c r="F207" s="30" t="s">
        <v>6</v>
      </c>
      <c r="G207" s="30" t="s">
        <v>7</v>
      </c>
      <c r="H207" s="30" t="s">
        <v>6</v>
      </c>
      <c r="I207" s="30" t="s">
        <v>8</v>
      </c>
      <c r="J207" s="30" t="s">
        <v>6</v>
      </c>
      <c r="K207" s="30" t="s">
        <v>9</v>
      </c>
      <c r="L207" s="30" t="s">
        <v>6</v>
      </c>
      <c r="M207" s="30" t="s">
        <v>10</v>
      </c>
      <c r="N207" s="30" t="s">
        <v>6</v>
      </c>
      <c r="O207" s="30" t="s">
        <v>11</v>
      </c>
      <c r="P207" s="30" t="s">
        <v>6</v>
      </c>
      <c r="Q207" s="30" t="s">
        <v>12</v>
      </c>
      <c r="R207" s="30" t="s">
        <v>6</v>
      </c>
      <c r="S207" s="30" t="s">
        <v>13</v>
      </c>
      <c r="T207" s="50" t="s">
        <v>6</v>
      </c>
    </row>
    <row r="208" spans="1:20" s="45" customFormat="1" ht="250.9">
      <c r="A208" s="51" t="s">
        <v>795</v>
      </c>
      <c r="B208" s="56">
        <v>3</v>
      </c>
      <c r="C208" s="56">
        <v>11</v>
      </c>
      <c r="D208" s="57">
        <v>4</v>
      </c>
      <c r="E208" s="29" t="s">
        <v>1330</v>
      </c>
      <c r="F208" s="63" t="s">
        <v>19</v>
      </c>
      <c r="G208" s="29" t="s">
        <v>1331</v>
      </c>
      <c r="H208" s="63" t="s">
        <v>19</v>
      </c>
      <c r="I208" s="29" t="s">
        <v>1031</v>
      </c>
      <c r="J208" s="63" t="s">
        <v>19</v>
      </c>
      <c r="K208" s="29" t="s">
        <v>1332</v>
      </c>
      <c r="L208" s="63" t="s">
        <v>19</v>
      </c>
      <c r="M208" s="29" t="s">
        <v>1333</v>
      </c>
      <c r="N208" s="63" t="s">
        <v>19</v>
      </c>
      <c r="O208" s="29" t="s">
        <v>1334</v>
      </c>
      <c r="P208" s="66" t="s">
        <v>1335</v>
      </c>
      <c r="Q208" s="29" t="s">
        <v>1336</v>
      </c>
      <c r="R208" s="63" t="s">
        <v>19</v>
      </c>
      <c r="S208" s="29"/>
      <c r="T208" s="50"/>
    </row>
    <row r="209" spans="1:20" s="45" customFormat="1">
      <c r="A209" s="55"/>
      <c r="B209" s="55"/>
      <c r="C209" s="55"/>
      <c r="D209" s="55"/>
      <c r="E209" s="93" t="s">
        <v>603</v>
      </c>
      <c r="F209" s="94"/>
      <c r="G209" s="94"/>
      <c r="H209" s="94"/>
      <c r="I209" s="94"/>
      <c r="J209" s="94"/>
      <c r="K209" s="94"/>
      <c r="L209" s="94"/>
      <c r="M209" s="94"/>
      <c r="N209" s="94"/>
      <c r="O209" s="94"/>
      <c r="P209" s="94"/>
      <c r="Q209" s="94"/>
      <c r="R209" s="94"/>
      <c r="S209" s="94"/>
      <c r="T209" s="95"/>
    </row>
    <row r="210" spans="1:20" s="45" customFormat="1">
      <c r="A210" s="55"/>
      <c r="B210" s="55"/>
      <c r="C210" s="55"/>
      <c r="D210" s="55"/>
      <c r="E210" s="46" t="s">
        <v>5</v>
      </c>
      <c r="F210" s="30" t="s">
        <v>6</v>
      </c>
      <c r="G210" s="30" t="s">
        <v>7</v>
      </c>
      <c r="H210" s="30" t="s">
        <v>6</v>
      </c>
      <c r="I210" s="30" t="s">
        <v>8</v>
      </c>
      <c r="J210" s="30" t="s">
        <v>6</v>
      </c>
      <c r="K210" s="30" t="s">
        <v>9</v>
      </c>
      <c r="L210" s="30" t="s">
        <v>6</v>
      </c>
      <c r="M210" s="30" t="s">
        <v>10</v>
      </c>
      <c r="N210" s="30" t="s">
        <v>6</v>
      </c>
      <c r="O210" s="30" t="s">
        <v>11</v>
      </c>
      <c r="P210" s="30" t="s">
        <v>6</v>
      </c>
      <c r="Q210" s="30" t="s">
        <v>12</v>
      </c>
      <c r="R210" s="30" t="s">
        <v>6</v>
      </c>
      <c r="S210" s="30" t="s">
        <v>13</v>
      </c>
      <c r="T210" s="50" t="s">
        <v>6</v>
      </c>
    </row>
    <row r="211" spans="1:20" s="45" customFormat="1" ht="236.25" customHeight="1">
      <c r="A211" s="51" t="s">
        <v>795</v>
      </c>
      <c r="B211" s="56">
        <v>3</v>
      </c>
      <c r="C211" s="56">
        <v>11</v>
      </c>
      <c r="D211" s="57">
        <v>9</v>
      </c>
      <c r="E211" s="29" t="s">
        <v>1337</v>
      </c>
      <c r="F211" s="63" t="s">
        <v>19</v>
      </c>
      <c r="G211" s="29" t="s">
        <v>1338</v>
      </c>
      <c r="H211" s="63" t="s">
        <v>19</v>
      </c>
      <c r="I211" s="29" t="s">
        <v>1031</v>
      </c>
      <c r="J211" s="63" t="s">
        <v>19</v>
      </c>
      <c r="K211" s="29" t="s">
        <v>1339</v>
      </c>
      <c r="L211" s="63" t="s">
        <v>19</v>
      </c>
      <c r="M211" s="29" t="s">
        <v>1340</v>
      </c>
      <c r="N211" s="63" t="s">
        <v>19</v>
      </c>
      <c r="O211" s="29" t="s">
        <v>1341</v>
      </c>
      <c r="P211" s="63" t="s">
        <v>19</v>
      </c>
      <c r="Q211" s="29" t="s">
        <v>1342</v>
      </c>
      <c r="R211" s="63" t="s">
        <v>19</v>
      </c>
      <c r="S211" s="29"/>
      <c r="T211" s="50"/>
    </row>
    <row r="212" spans="1:20" s="45" customFormat="1">
      <c r="A212" s="55"/>
      <c r="B212" s="55"/>
      <c r="C212" s="55"/>
      <c r="D212" s="55"/>
      <c r="E212" s="93" t="s">
        <v>603</v>
      </c>
      <c r="F212" s="94"/>
      <c r="G212" s="94"/>
      <c r="H212" s="94"/>
      <c r="I212" s="94"/>
      <c r="J212" s="94"/>
      <c r="K212" s="94"/>
      <c r="L212" s="94"/>
      <c r="M212" s="94"/>
      <c r="N212" s="94"/>
      <c r="O212" s="94"/>
      <c r="P212" s="94"/>
      <c r="Q212" s="94"/>
      <c r="R212" s="94"/>
      <c r="S212" s="94"/>
      <c r="T212" s="95"/>
    </row>
    <row r="213" spans="1:20" s="45" customFormat="1">
      <c r="A213" s="55"/>
      <c r="B213" s="55"/>
      <c r="C213" s="55"/>
      <c r="D213" s="55"/>
      <c r="E213" s="46" t="s">
        <v>5</v>
      </c>
      <c r="F213" s="30" t="s">
        <v>6</v>
      </c>
      <c r="G213" s="30" t="s">
        <v>7</v>
      </c>
      <c r="H213" s="30" t="s">
        <v>6</v>
      </c>
      <c r="I213" s="30" t="s">
        <v>8</v>
      </c>
      <c r="J213" s="30" t="s">
        <v>6</v>
      </c>
      <c r="K213" s="30" t="s">
        <v>9</v>
      </c>
      <c r="L213" s="30" t="s">
        <v>6</v>
      </c>
      <c r="M213" s="30" t="s">
        <v>10</v>
      </c>
      <c r="N213" s="30" t="s">
        <v>6</v>
      </c>
      <c r="O213" s="30" t="s">
        <v>11</v>
      </c>
      <c r="P213" s="30" t="s">
        <v>6</v>
      </c>
      <c r="Q213" s="30" t="s">
        <v>12</v>
      </c>
      <c r="R213" s="30" t="s">
        <v>6</v>
      </c>
      <c r="S213" s="30" t="s">
        <v>13</v>
      </c>
      <c r="T213" s="50" t="s">
        <v>6</v>
      </c>
    </row>
    <row r="214" spans="1:20" s="45" customFormat="1" ht="277.14999999999998">
      <c r="A214" s="51" t="s">
        <v>795</v>
      </c>
      <c r="B214" s="56">
        <v>3</v>
      </c>
      <c r="C214" s="56">
        <v>11</v>
      </c>
      <c r="D214" s="57">
        <v>14</v>
      </c>
      <c r="E214" s="29" t="s">
        <v>1343</v>
      </c>
      <c r="F214" s="63" t="s">
        <v>19</v>
      </c>
      <c r="G214" s="29" t="s">
        <v>1344</v>
      </c>
      <c r="H214" s="63" t="s">
        <v>19</v>
      </c>
      <c r="I214" s="29" t="s">
        <v>1031</v>
      </c>
      <c r="J214" s="63" t="s">
        <v>19</v>
      </c>
      <c r="K214" s="29" t="s">
        <v>1345</v>
      </c>
      <c r="L214" s="34" t="s">
        <v>1346</v>
      </c>
      <c r="M214" s="29" t="s">
        <v>1347</v>
      </c>
      <c r="N214" s="63" t="s">
        <v>19</v>
      </c>
      <c r="O214" s="29" t="s">
        <v>1348</v>
      </c>
      <c r="P214" s="36" t="s">
        <v>1349</v>
      </c>
      <c r="Q214" s="29" t="s">
        <v>1350</v>
      </c>
      <c r="R214" s="26" t="s">
        <v>1351</v>
      </c>
      <c r="S214" s="29"/>
      <c r="T214" s="50"/>
    </row>
    <row r="215" spans="1:20" s="45" customFormat="1">
      <c r="A215" s="55"/>
      <c r="B215" s="55"/>
      <c r="C215" s="55"/>
      <c r="D215" s="55"/>
      <c r="E215" s="93" t="s">
        <v>603</v>
      </c>
      <c r="F215" s="94"/>
      <c r="G215" s="94"/>
      <c r="H215" s="94"/>
      <c r="I215" s="94"/>
      <c r="J215" s="94"/>
      <c r="K215" s="94"/>
      <c r="L215" s="94"/>
      <c r="M215" s="94"/>
      <c r="N215" s="94"/>
      <c r="O215" s="94"/>
      <c r="P215" s="94"/>
      <c r="Q215" s="94"/>
      <c r="R215" s="94"/>
      <c r="S215" s="94"/>
      <c r="T215" s="95"/>
    </row>
    <row r="216" spans="1:20" s="45" customFormat="1">
      <c r="A216" s="55"/>
      <c r="B216" s="55"/>
      <c r="C216" s="55"/>
      <c r="D216" s="55"/>
      <c r="E216" s="46" t="s">
        <v>5</v>
      </c>
      <c r="F216" s="30" t="s">
        <v>6</v>
      </c>
      <c r="G216" s="30" t="s">
        <v>7</v>
      </c>
      <c r="H216" s="30" t="s">
        <v>6</v>
      </c>
      <c r="I216" s="30" t="s">
        <v>8</v>
      </c>
      <c r="J216" s="30" t="s">
        <v>6</v>
      </c>
      <c r="K216" s="30" t="s">
        <v>9</v>
      </c>
      <c r="L216" s="30" t="s">
        <v>6</v>
      </c>
      <c r="M216" s="30" t="s">
        <v>10</v>
      </c>
      <c r="N216" s="30" t="s">
        <v>6</v>
      </c>
      <c r="O216" s="30" t="s">
        <v>11</v>
      </c>
      <c r="P216" s="30" t="s">
        <v>6</v>
      </c>
      <c r="Q216" s="30" t="s">
        <v>12</v>
      </c>
      <c r="R216" s="30" t="s">
        <v>6</v>
      </c>
      <c r="S216" s="30" t="s">
        <v>13</v>
      </c>
      <c r="T216" s="50" t="s">
        <v>6</v>
      </c>
    </row>
    <row r="217" spans="1:20" s="45" customFormat="1" ht="250.9">
      <c r="A217" s="51" t="s">
        <v>795</v>
      </c>
      <c r="B217" s="56">
        <v>3</v>
      </c>
      <c r="C217" s="56">
        <v>11</v>
      </c>
      <c r="D217" s="57">
        <v>17</v>
      </c>
      <c r="E217" s="29" t="s">
        <v>1352</v>
      </c>
      <c r="F217" s="63" t="s">
        <v>19</v>
      </c>
      <c r="G217" s="29" t="s">
        <v>1353</v>
      </c>
      <c r="H217" s="65" t="s">
        <v>1354</v>
      </c>
      <c r="I217" s="29" t="s">
        <v>1031</v>
      </c>
      <c r="J217" s="63" t="s">
        <v>19</v>
      </c>
      <c r="K217" s="29" t="s">
        <v>1355</v>
      </c>
      <c r="L217" s="63" t="s">
        <v>19</v>
      </c>
      <c r="M217" s="29" t="s">
        <v>1356</v>
      </c>
      <c r="N217" s="63" t="s">
        <v>19</v>
      </c>
      <c r="O217" s="29" t="s">
        <v>1357</v>
      </c>
      <c r="P217" s="67" t="s">
        <v>1358</v>
      </c>
      <c r="Q217" s="29" t="s">
        <v>1359</v>
      </c>
      <c r="R217" s="63" t="s">
        <v>19</v>
      </c>
      <c r="S217" s="29"/>
      <c r="T217" s="50"/>
    </row>
    <row r="218" spans="1:20" s="45" customFormat="1">
      <c r="A218" s="55"/>
      <c r="B218" s="55"/>
      <c r="C218" s="55"/>
      <c r="D218" s="55"/>
      <c r="E218" s="93" t="s">
        <v>603</v>
      </c>
      <c r="F218" s="94"/>
      <c r="G218" s="94"/>
      <c r="H218" s="94"/>
      <c r="I218" s="94"/>
      <c r="J218" s="94"/>
      <c r="K218" s="94"/>
      <c r="L218" s="94"/>
      <c r="M218" s="94"/>
      <c r="N218" s="94"/>
      <c r="O218" s="94"/>
      <c r="P218" s="94"/>
      <c r="Q218" s="94"/>
      <c r="R218" s="94"/>
      <c r="S218" s="94"/>
      <c r="T218" s="95"/>
    </row>
    <row r="219" spans="1:20" s="45" customFormat="1">
      <c r="A219" s="55"/>
      <c r="B219" s="55"/>
      <c r="C219" s="55"/>
      <c r="D219" s="55"/>
      <c r="E219" s="46" t="s">
        <v>5</v>
      </c>
      <c r="F219" s="30" t="s">
        <v>6</v>
      </c>
      <c r="G219" s="30" t="s">
        <v>7</v>
      </c>
      <c r="H219" s="30" t="s">
        <v>6</v>
      </c>
      <c r="I219" s="30" t="s">
        <v>8</v>
      </c>
      <c r="J219" s="30" t="s">
        <v>6</v>
      </c>
      <c r="K219" s="30" t="s">
        <v>9</v>
      </c>
      <c r="L219" s="30" t="s">
        <v>6</v>
      </c>
      <c r="M219" s="30" t="s">
        <v>10</v>
      </c>
      <c r="N219" s="30" t="s">
        <v>6</v>
      </c>
      <c r="O219" s="30" t="s">
        <v>11</v>
      </c>
      <c r="P219" s="30" t="s">
        <v>6</v>
      </c>
      <c r="Q219" s="30" t="s">
        <v>12</v>
      </c>
      <c r="R219" s="30" t="s">
        <v>6</v>
      </c>
      <c r="S219" s="30" t="s">
        <v>13</v>
      </c>
      <c r="T219" s="50" t="s">
        <v>6</v>
      </c>
    </row>
    <row r="220" spans="1:20" s="45" customFormat="1" ht="237.6">
      <c r="A220" s="51" t="s">
        <v>795</v>
      </c>
      <c r="B220" s="56">
        <v>3</v>
      </c>
      <c r="C220" s="56">
        <v>11</v>
      </c>
      <c r="D220" s="57">
        <v>22</v>
      </c>
      <c r="E220" s="29" t="s">
        <v>1360</v>
      </c>
      <c r="F220" s="63" t="s">
        <v>19</v>
      </c>
      <c r="G220" s="29" t="s">
        <v>1361</v>
      </c>
      <c r="H220" s="26" t="s">
        <v>1362</v>
      </c>
      <c r="I220" s="29" t="s">
        <v>1031</v>
      </c>
      <c r="J220" s="63" t="s">
        <v>19</v>
      </c>
      <c r="K220" s="29" t="s">
        <v>1363</v>
      </c>
      <c r="L220" s="63" t="s">
        <v>19</v>
      </c>
      <c r="M220" s="29" t="s">
        <v>1364</v>
      </c>
      <c r="N220" s="34" t="s">
        <v>1365</v>
      </c>
      <c r="O220" s="29" t="s">
        <v>1366</v>
      </c>
      <c r="P220" s="63" t="s">
        <v>19</v>
      </c>
      <c r="Q220" s="29" t="s">
        <v>1367</v>
      </c>
      <c r="R220" s="40" t="s">
        <v>1368</v>
      </c>
      <c r="S220" s="29"/>
      <c r="T220" s="50"/>
    </row>
    <row r="221" spans="1:20" s="45" customFormat="1">
      <c r="A221" s="55"/>
      <c r="B221" s="55"/>
      <c r="C221" s="55"/>
      <c r="D221" s="55"/>
      <c r="E221" s="93" t="s">
        <v>603</v>
      </c>
      <c r="F221" s="94"/>
      <c r="G221" s="94"/>
      <c r="H221" s="94"/>
      <c r="I221" s="94"/>
      <c r="J221" s="94"/>
      <c r="K221" s="94"/>
      <c r="L221" s="94"/>
      <c r="M221" s="94"/>
      <c r="N221" s="94"/>
      <c r="O221" s="94"/>
      <c r="P221" s="94"/>
      <c r="Q221" s="94"/>
      <c r="R221" s="94"/>
      <c r="S221" s="94"/>
      <c r="T221" s="95"/>
    </row>
    <row r="222" spans="1:20" s="45" customFormat="1">
      <c r="A222" s="55"/>
      <c r="B222" s="55"/>
      <c r="C222" s="55"/>
      <c r="D222" s="55"/>
      <c r="E222" s="46" t="s">
        <v>5</v>
      </c>
      <c r="F222" s="30" t="s">
        <v>6</v>
      </c>
      <c r="G222" s="30" t="s">
        <v>7</v>
      </c>
      <c r="H222" s="30" t="s">
        <v>6</v>
      </c>
      <c r="I222" s="30" t="s">
        <v>8</v>
      </c>
      <c r="J222" s="30" t="s">
        <v>6</v>
      </c>
      <c r="K222" s="30" t="s">
        <v>9</v>
      </c>
      <c r="L222" s="30" t="s">
        <v>6</v>
      </c>
      <c r="M222" s="30" t="s">
        <v>10</v>
      </c>
      <c r="N222" s="30" t="s">
        <v>6</v>
      </c>
      <c r="O222" s="30" t="s">
        <v>11</v>
      </c>
      <c r="P222" s="30" t="s">
        <v>6</v>
      </c>
      <c r="Q222" s="30" t="s">
        <v>12</v>
      </c>
      <c r="R222" s="30" t="s">
        <v>6</v>
      </c>
      <c r="S222" s="30" t="s">
        <v>13</v>
      </c>
      <c r="T222" s="50" t="s">
        <v>6</v>
      </c>
    </row>
    <row r="223" spans="1:20" s="45" customFormat="1" ht="264">
      <c r="A223" s="51" t="s">
        <v>795</v>
      </c>
      <c r="B223" s="56">
        <v>3</v>
      </c>
      <c r="C223" s="56">
        <v>11</v>
      </c>
      <c r="D223" s="57">
        <v>23</v>
      </c>
      <c r="E223" s="29" t="s">
        <v>1369</v>
      </c>
      <c r="F223" s="63" t="s">
        <v>19</v>
      </c>
      <c r="G223" s="29" t="s">
        <v>1370</v>
      </c>
      <c r="H223" s="65" t="s">
        <v>1354</v>
      </c>
      <c r="I223" s="29" t="s">
        <v>1031</v>
      </c>
      <c r="J223" s="63" t="s">
        <v>19</v>
      </c>
      <c r="K223" s="29" t="s">
        <v>1371</v>
      </c>
      <c r="L223" s="63" t="s">
        <v>19</v>
      </c>
      <c r="M223" s="29" t="s">
        <v>1372</v>
      </c>
      <c r="N223" s="63" t="s">
        <v>19</v>
      </c>
      <c r="O223" s="29" t="s">
        <v>1373</v>
      </c>
      <c r="P223" s="63" t="s">
        <v>19</v>
      </c>
      <c r="Q223" s="29" t="s">
        <v>1374</v>
      </c>
      <c r="R223" s="63" t="s">
        <v>19</v>
      </c>
      <c r="S223" s="29"/>
      <c r="T223" s="50"/>
    </row>
    <row r="224" spans="1:20" s="45" customFormat="1">
      <c r="A224" s="55"/>
      <c r="B224" s="55"/>
      <c r="C224" s="55"/>
      <c r="D224" s="55"/>
      <c r="E224" s="93" t="s">
        <v>603</v>
      </c>
      <c r="F224" s="94"/>
      <c r="G224" s="94"/>
      <c r="H224" s="94"/>
      <c r="I224" s="94"/>
      <c r="J224" s="94"/>
      <c r="K224" s="94"/>
      <c r="L224" s="94"/>
      <c r="M224" s="94"/>
      <c r="N224" s="94"/>
      <c r="O224" s="94"/>
      <c r="P224" s="94"/>
      <c r="Q224" s="94"/>
      <c r="R224" s="94"/>
      <c r="S224" s="94"/>
      <c r="T224" s="95"/>
    </row>
    <row r="225" spans="1:20" s="45" customFormat="1">
      <c r="A225" s="55"/>
      <c r="B225" s="55"/>
      <c r="C225" s="55"/>
      <c r="D225" s="55"/>
      <c r="E225" s="46" t="s">
        <v>5</v>
      </c>
      <c r="F225" s="30" t="s">
        <v>6</v>
      </c>
      <c r="G225" s="30" t="s">
        <v>7</v>
      </c>
      <c r="H225" s="30" t="s">
        <v>6</v>
      </c>
      <c r="I225" s="30" t="s">
        <v>8</v>
      </c>
      <c r="J225" s="30" t="s">
        <v>6</v>
      </c>
      <c r="K225" s="30" t="s">
        <v>9</v>
      </c>
      <c r="L225" s="30" t="s">
        <v>6</v>
      </c>
      <c r="M225" s="30" t="s">
        <v>10</v>
      </c>
      <c r="N225" s="30" t="s">
        <v>6</v>
      </c>
      <c r="O225" s="30" t="s">
        <v>11</v>
      </c>
      <c r="P225" s="30" t="s">
        <v>6</v>
      </c>
      <c r="Q225" s="30" t="s">
        <v>12</v>
      </c>
      <c r="R225" s="30" t="s">
        <v>6</v>
      </c>
      <c r="S225" s="30" t="s">
        <v>13</v>
      </c>
      <c r="T225" s="50" t="s">
        <v>6</v>
      </c>
    </row>
    <row r="226" spans="1:20" s="45" customFormat="1" ht="277.14999999999998">
      <c r="A226" s="51" t="s">
        <v>795</v>
      </c>
      <c r="B226" s="56">
        <v>3</v>
      </c>
      <c r="C226" s="56">
        <v>11</v>
      </c>
      <c r="D226" s="57">
        <v>27</v>
      </c>
      <c r="E226" s="29" t="s">
        <v>1375</v>
      </c>
      <c r="F226" s="63" t="s">
        <v>19</v>
      </c>
      <c r="G226" s="29" t="s">
        <v>1376</v>
      </c>
      <c r="H226" s="63" t="s">
        <v>19</v>
      </c>
      <c r="I226" s="29" t="s">
        <v>1377</v>
      </c>
      <c r="J226" s="63" t="s">
        <v>19</v>
      </c>
      <c r="K226" s="29" t="s">
        <v>1378</v>
      </c>
      <c r="L226" s="34" t="s">
        <v>1379</v>
      </c>
      <c r="M226" s="29" t="s">
        <v>1380</v>
      </c>
      <c r="N226" s="63" t="s">
        <v>19</v>
      </c>
      <c r="O226" s="29" t="s">
        <v>1381</v>
      </c>
      <c r="P226" s="40" t="s">
        <v>1382</v>
      </c>
      <c r="Q226" s="29" t="s">
        <v>1383</v>
      </c>
      <c r="R226" s="63" t="s">
        <v>19</v>
      </c>
      <c r="S226" s="29"/>
      <c r="T226" s="50"/>
    </row>
    <row r="227" spans="1:20" s="45" customFormat="1">
      <c r="A227" s="55"/>
      <c r="B227" s="55"/>
      <c r="C227" s="55"/>
      <c r="D227" s="55"/>
      <c r="E227" s="93" t="s">
        <v>603</v>
      </c>
      <c r="F227" s="94"/>
      <c r="G227" s="94"/>
      <c r="H227" s="94"/>
      <c r="I227" s="94"/>
      <c r="J227" s="94"/>
      <c r="K227" s="94"/>
      <c r="L227" s="94"/>
      <c r="M227" s="94"/>
      <c r="N227" s="94"/>
      <c r="O227" s="94"/>
      <c r="P227" s="94"/>
      <c r="Q227" s="94"/>
      <c r="R227" s="94"/>
      <c r="S227" s="94"/>
      <c r="T227" s="95"/>
    </row>
    <row r="228" spans="1:20" s="45" customFormat="1">
      <c r="A228" s="55"/>
      <c r="B228" s="55"/>
      <c r="C228" s="55"/>
      <c r="D228" s="55"/>
      <c r="E228" s="46" t="s">
        <v>5</v>
      </c>
      <c r="F228" s="30" t="s">
        <v>6</v>
      </c>
      <c r="G228" s="30" t="s">
        <v>7</v>
      </c>
      <c r="H228" s="30" t="s">
        <v>6</v>
      </c>
      <c r="I228" s="30" t="s">
        <v>8</v>
      </c>
      <c r="J228" s="30" t="s">
        <v>6</v>
      </c>
      <c r="K228" s="30" t="s">
        <v>9</v>
      </c>
      <c r="L228" s="30" t="s">
        <v>6</v>
      </c>
      <c r="M228" s="30" t="s">
        <v>10</v>
      </c>
      <c r="N228" s="30" t="s">
        <v>6</v>
      </c>
      <c r="O228" s="30" t="s">
        <v>11</v>
      </c>
      <c r="P228" s="30" t="s">
        <v>6</v>
      </c>
      <c r="Q228" s="30" t="s">
        <v>12</v>
      </c>
      <c r="R228" s="30" t="s">
        <v>6</v>
      </c>
      <c r="S228" s="30" t="s">
        <v>13</v>
      </c>
      <c r="T228" s="50" t="s">
        <v>6</v>
      </c>
    </row>
    <row r="229" spans="1:20" s="45" customFormat="1" ht="224.45">
      <c r="A229" s="51" t="s">
        <v>795</v>
      </c>
      <c r="B229" s="56">
        <v>3</v>
      </c>
      <c r="C229" s="56">
        <v>11</v>
      </c>
      <c r="D229" s="57">
        <v>30</v>
      </c>
      <c r="E229" s="29" t="s">
        <v>1384</v>
      </c>
      <c r="F229" s="63" t="s">
        <v>19</v>
      </c>
      <c r="G229" s="29" t="s">
        <v>1385</v>
      </c>
      <c r="H229" s="34" t="s">
        <v>1386</v>
      </c>
      <c r="I229" s="29" t="s">
        <v>1031</v>
      </c>
      <c r="J229" s="63" t="s">
        <v>19</v>
      </c>
      <c r="K229" s="29" t="s">
        <v>1387</v>
      </c>
      <c r="L229" s="34" t="s">
        <v>1346</v>
      </c>
      <c r="M229" s="29" t="s">
        <v>1388</v>
      </c>
      <c r="N229" s="63" t="s">
        <v>19</v>
      </c>
      <c r="O229" s="29" t="s">
        <v>1389</v>
      </c>
      <c r="P229" s="63" t="s">
        <v>19</v>
      </c>
      <c r="Q229" s="29" t="s">
        <v>1390</v>
      </c>
      <c r="R229" s="40" t="s">
        <v>1391</v>
      </c>
      <c r="S229" s="29"/>
      <c r="T229" s="50"/>
    </row>
    <row r="230" spans="1:20" s="45" customFormat="1">
      <c r="A230" s="55"/>
      <c r="B230" s="55"/>
      <c r="C230" s="55"/>
      <c r="D230" s="55"/>
      <c r="E230" s="93" t="s">
        <v>665</v>
      </c>
      <c r="F230" s="94"/>
      <c r="G230" s="94"/>
      <c r="H230" s="94"/>
      <c r="I230" s="94"/>
      <c r="J230" s="94"/>
      <c r="K230" s="94"/>
      <c r="L230" s="94"/>
      <c r="M230" s="94"/>
      <c r="N230" s="94"/>
      <c r="O230" s="94"/>
      <c r="P230" s="94"/>
      <c r="Q230" s="94"/>
      <c r="R230" s="94"/>
      <c r="S230" s="94"/>
      <c r="T230" s="95"/>
    </row>
    <row r="231" spans="1:20" s="45" customFormat="1">
      <c r="A231" s="55"/>
      <c r="B231" s="55"/>
      <c r="C231" s="55"/>
      <c r="D231" s="55"/>
      <c r="E231" s="46" t="s">
        <v>5</v>
      </c>
      <c r="F231" s="30" t="s">
        <v>6</v>
      </c>
      <c r="G231" s="30" t="s">
        <v>7</v>
      </c>
      <c r="H231" s="30" t="s">
        <v>6</v>
      </c>
      <c r="I231" s="30" t="s">
        <v>8</v>
      </c>
      <c r="J231" s="30" t="s">
        <v>6</v>
      </c>
      <c r="K231" s="30" t="s">
        <v>9</v>
      </c>
      <c r="L231" s="30" t="s">
        <v>6</v>
      </c>
      <c r="M231" s="30" t="s">
        <v>10</v>
      </c>
      <c r="N231" s="30" t="s">
        <v>6</v>
      </c>
      <c r="O231" s="30" t="s">
        <v>11</v>
      </c>
      <c r="P231" s="30" t="s">
        <v>6</v>
      </c>
      <c r="Q231" s="30" t="s">
        <v>12</v>
      </c>
      <c r="R231" s="30" t="s">
        <v>6</v>
      </c>
      <c r="S231" s="30" t="s">
        <v>13</v>
      </c>
      <c r="T231" s="50" t="s">
        <v>6</v>
      </c>
    </row>
    <row r="232" spans="1:20" s="45" customFormat="1" ht="171.6">
      <c r="A232" s="51" t="s">
        <v>795</v>
      </c>
      <c r="B232" s="56">
        <v>3</v>
      </c>
      <c r="C232" s="56">
        <v>12</v>
      </c>
      <c r="D232" s="57">
        <v>4</v>
      </c>
      <c r="E232" s="29" t="s">
        <v>1392</v>
      </c>
      <c r="F232" s="26" t="s">
        <v>1393</v>
      </c>
      <c r="G232" s="29" t="s">
        <v>1394</v>
      </c>
      <c r="H232" s="37" t="s">
        <v>1395</v>
      </c>
      <c r="I232" s="29" t="s">
        <v>1396</v>
      </c>
      <c r="J232" s="26"/>
      <c r="K232" s="29" t="s">
        <v>1397</v>
      </c>
      <c r="L232" s="26"/>
      <c r="M232" s="29" t="s">
        <v>1398</v>
      </c>
      <c r="N232" s="36" t="s">
        <v>1399</v>
      </c>
      <c r="O232" s="29" t="s">
        <v>1400</v>
      </c>
      <c r="P232" s="26"/>
      <c r="Q232" s="29" t="s">
        <v>1401</v>
      </c>
      <c r="R232" s="34"/>
      <c r="S232" s="29"/>
      <c r="T232" s="50"/>
    </row>
    <row r="233" spans="1:20" s="45" customFormat="1">
      <c r="A233" s="55"/>
      <c r="B233" s="55"/>
      <c r="C233" s="55"/>
      <c r="D233" s="55"/>
      <c r="E233" s="93" t="s">
        <v>665</v>
      </c>
      <c r="F233" s="94"/>
      <c r="G233" s="94"/>
      <c r="H233" s="94"/>
      <c r="I233" s="94"/>
      <c r="J233" s="94"/>
      <c r="K233" s="94"/>
      <c r="L233" s="94"/>
      <c r="M233" s="94"/>
      <c r="N233" s="94"/>
      <c r="O233" s="94"/>
      <c r="P233" s="94"/>
      <c r="Q233" s="94"/>
      <c r="R233" s="94"/>
      <c r="S233" s="94"/>
      <c r="T233" s="95"/>
    </row>
    <row r="234" spans="1:20" s="45" customFormat="1">
      <c r="A234" s="55"/>
      <c r="B234" s="55"/>
      <c r="C234" s="55"/>
      <c r="D234" s="55"/>
      <c r="E234" s="46" t="s">
        <v>5</v>
      </c>
      <c r="F234" s="30" t="s">
        <v>6</v>
      </c>
      <c r="G234" s="30" t="s">
        <v>7</v>
      </c>
      <c r="H234" s="30" t="s">
        <v>6</v>
      </c>
      <c r="I234" s="30" t="s">
        <v>8</v>
      </c>
      <c r="J234" s="30" t="s">
        <v>6</v>
      </c>
      <c r="K234" s="30" t="s">
        <v>9</v>
      </c>
      <c r="L234" s="30" t="s">
        <v>6</v>
      </c>
      <c r="M234" s="30" t="s">
        <v>10</v>
      </c>
      <c r="N234" s="30" t="s">
        <v>6</v>
      </c>
      <c r="O234" s="30" t="s">
        <v>11</v>
      </c>
      <c r="P234" s="30" t="s">
        <v>6</v>
      </c>
      <c r="Q234" s="30" t="s">
        <v>12</v>
      </c>
      <c r="R234" s="30" t="s">
        <v>6</v>
      </c>
      <c r="S234" s="30" t="s">
        <v>13</v>
      </c>
      <c r="T234" s="50" t="s">
        <v>6</v>
      </c>
    </row>
    <row r="235" spans="1:20" s="45" customFormat="1" ht="171.6">
      <c r="A235" s="51" t="s">
        <v>795</v>
      </c>
      <c r="B235" s="56">
        <v>3</v>
      </c>
      <c r="C235" s="56">
        <v>12</v>
      </c>
      <c r="D235" s="57">
        <v>9</v>
      </c>
      <c r="E235" s="29" t="s">
        <v>1402</v>
      </c>
      <c r="F235" s="26"/>
      <c r="G235" s="29" t="s">
        <v>1403</v>
      </c>
      <c r="H235" s="37" t="s">
        <v>1395</v>
      </c>
      <c r="I235" s="29" t="s">
        <v>1396</v>
      </c>
      <c r="J235" s="26"/>
      <c r="K235" s="29" t="s">
        <v>1404</v>
      </c>
      <c r="L235" s="26"/>
      <c r="M235" s="29" t="s">
        <v>1405</v>
      </c>
      <c r="N235" s="36" t="s">
        <v>1406</v>
      </c>
      <c r="O235" s="29" t="s">
        <v>1407</v>
      </c>
      <c r="P235" s="26"/>
      <c r="Q235" s="29" t="s">
        <v>1408</v>
      </c>
      <c r="R235" s="34"/>
      <c r="S235" s="29"/>
      <c r="T235" s="50"/>
    </row>
    <row r="236" spans="1:20" s="45" customFormat="1">
      <c r="A236" s="55"/>
      <c r="B236" s="55"/>
      <c r="C236" s="55"/>
      <c r="D236" s="55"/>
      <c r="E236" s="93" t="s">
        <v>665</v>
      </c>
      <c r="F236" s="94"/>
      <c r="G236" s="94"/>
      <c r="H236" s="94"/>
      <c r="I236" s="94"/>
      <c r="J236" s="94"/>
      <c r="K236" s="94"/>
      <c r="L236" s="94"/>
      <c r="M236" s="94"/>
      <c r="N236" s="94"/>
      <c r="O236" s="94"/>
      <c r="P236" s="94"/>
      <c r="Q236" s="94"/>
      <c r="R236" s="94"/>
      <c r="S236" s="94"/>
      <c r="T236" s="95"/>
    </row>
    <row r="237" spans="1:20" s="45" customFormat="1">
      <c r="A237" s="55"/>
      <c r="B237" s="55"/>
      <c r="C237" s="55"/>
      <c r="D237" s="55"/>
      <c r="E237" s="46" t="s">
        <v>5</v>
      </c>
      <c r="F237" s="30" t="s">
        <v>6</v>
      </c>
      <c r="G237" s="30" t="s">
        <v>7</v>
      </c>
      <c r="H237" s="30" t="s">
        <v>6</v>
      </c>
      <c r="I237" s="30" t="s">
        <v>8</v>
      </c>
      <c r="J237" s="30" t="s">
        <v>6</v>
      </c>
      <c r="K237" s="30" t="s">
        <v>9</v>
      </c>
      <c r="L237" s="30" t="s">
        <v>6</v>
      </c>
      <c r="M237" s="30" t="s">
        <v>10</v>
      </c>
      <c r="N237" s="30" t="s">
        <v>6</v>
      </c>
      <c r="O237" s="30" t="s">
        <v>11</v>
      </c>
      <c r="P237" s="30" t="s">
        <v>6</v>
      </c>
      <c r="Q237" s="30" t="s">
        <v>12</v>
      </c>
      <c r="R237" s="30" t="s">
        <v>6</v>
      </c>
      <c r="S237" s="30" t="s">
        <v>13</v>
      </c>
      <c r="T237" s="50" t="s">
        <v>6</v>
      </c>
    </row>
    <row r="238" spans="1:20" s="45" customFormat="1" ht="171.6">
      <c r="A238" s="51" t="s">
        <v>795</v>
      </c>
      <c r="B238" s="56">
        <v>3</v>
      </c>
      <c r="C238" s="56">
        <v>12</v>
      </c>
      <c r="D238" s="57">
        <v>18</v>
      </c>
      <c r="E238" s="29" t="s">
        <v>1409</v>
      </c>
      <c r="F238" s="26"/>
      <c r="G238" s="29" t="s">
        <v>1410</v>
      </c>
      <c r="H238" s="37" t="s">
        <v>1395</v>
      </c>
      <c r="I238" s="29" t="s">
        <v>1411</v>
      </c>
      <c r="J238" s="26"/>
      <c r="K238" s="29" t="s">
        <v>1412</v>
      </c>
      <c r="L238" s="26"/>
      <c r="M238" s="29" t="s">
        <v>1413</v>
      </c>
      <c r="N238" s="36" t="s">
        <v>1406</v>
      </c>
      <c r="O238" s="29" t="s">
        <v>1414</v>
      </c>
      <c r="P238" s="26"/>
      <c r="Q238" s="29" t="s">
        <v>128</v>
      </c>
      <c r="R238" s="34"/>
      <c r="S238" s="29"/>
      <c r="T238" s="50"/>
    </row>
    <row r="239" spans="1:20" s="45" customFormat="1">
      <c r="A239" s="55"/>
      <c r="B239" s="55"/>
      <c r="C239" s="55"/>
      <c r="D239" s="55"/>
      <c r="E239" s="93" t="s">
        <v>665</v>
      </c>
      <c r="F239" s="94"/>
      <c r="G239" s="94"/>
      <c r="H239" s="94"/>
      <c r="I239" s="94"/>
      <c r="J239" s="94"/>
      <c r="K239" s="94"/>
      <c r="L239" s="94"/>
      <c r="M239" s="94"/>
      <c r="N239" s="94"/>
      <c r="O239" s="94"/>
      <c r="P239" s="94"/>
      <c r="Q239" s="94"/>
      <c r="R239" s="94"/>
      <c r="S239" s="94"/>
      <c r="T239" s="95"/>
    </row>
    <row r="240" spans="1:20" s="45" customFormat="1">
      <c r="A240" s="55"/>
      <c r="B240" s="55"/>
      <c r="C240" s="55"/>
      <c r="D240" s="55"/>
      <c r="E240" s="46" t="s">
        <v>5</v>
      </c>
      <c r="F240" s="30" t="s">
        <v>6</v>
      </c>
      <c r="G240" s="30" t="s">
        <v>7</v>
      </c>
      <c r="H240" s="30" t="s">
        <v>6</v>
      </c>
      <c r="I240" s="30" t="s">
        <v>8</v>
      </c>
      <c r="J240" s="30" t="s">
        <v>6</v>
      </c>
      <c r="K240" s="30" t="s">
        <v>9</v>
      </c>
      <c r="L240" s="30" t="s">
        <v>6</v>
      </c>
      <c r="M240" s="30" t="s">
        <v>10</v>
      </c>
      <c r="N240" s="30" t="s">
        <v>6</v>
      </c>
      <c r="O240" s="30" t="s">
        <v>11</v>
      </c>
      <c r="P240" s="30" t="s">
        <v>6</v>
      </c>
      <c r="Q240" s="30" t="s">
        <v>12</v>
      </c>
      <c r="R240" s="30" t="s">
        <v>6</v>
      </c>
      <c r="S240" s="30" t="s">
        <v>13</v>
      </c>
      <c r="T240" s="50" t="s">
        <v>6</v>
      </c>
    </row>
    <row r="241" spans="1:20" s="45" customFormat="1" ht="158.44999999999999">
      <c r="A241" s="51" t="s">
        <v>795</v>
      </c>
      <c r="B241" s="56">
        <v>3</v>
      </c>
      <c r="C241" s="56">
        <v>12</v>
      </c>
      <c r="D241" s="57">
        <v>20</v>
      </c>
      <c r="E241" s="29" t="s">
        <v>1415</v>
      </c>
      <c r="F241" s="26"/>
      <c r="G241" s="29" t="s">
        <v>1416</v>
      </c>
      <c r="H241" s="37" t="s">
        <v>1395</v>
      </c>
      <c r="I241" s="29" t="s">
        <v>1396</v>
      </c>
      <c r="J241" s="26"/>
      <c r="K241" s="29" t="s">
        <v>1417</v>
      </c>
      <c r="L241" s="26"/>
      <c r="M241" s="29" t="s">
        <v>1418</v>
      </c>
      <c r="N241" s="26"/>
      <c r="O241" s="29" t="s">
        <v>1419</v>
      </c>
      <c r="P241" s="26"/>
      <c r="Q241" s="29" t="s">
        <v>128</v>
      </c>
      <c r="R241" s="34"/>
      <c r="S241" s="29"/>
      <c r="T241" s="50"/>
    </row>
    <row r="242" spans="1:20" s="45" customFormat="1">
      <c r="A242" s="55"/>
      <c r="B242" s="55"/>
      <c r="C242" s="55"/>
      <c r="D242" s="55"/>
      <c r="E242" s="93" t="s">
        <v>665</v>
      </c>
      <c r="F242" s="94"/>
      <c r="G242" s="94"/>
      <c r="H242" s="94"/>
      <c r="I242" s="94"/>
      <c r="J242" s="94"/>
      <c r="K242" s="94"/>
      <c r="L242" s="94"/>
      <c r="M242" s="94"/>
      <c r="N242" s="94"/>
      <c r="O242" s="94"/>
      <c r="P242" s="94"/>
      <c r="Q242" s="94"/>
      <c r="R242" s="94"/>
      <c r="S242" s="94"/>
      <c r="T242" s="95"/>
    </row>
    <row r="243" spans="1:20" s="45" customFormat="1">
      <c r="A243" s="55"/>
      <c r="B243" s="55"/>
      <c r="C243" s="55"/>
      <c r="D243" s="55"/>
      <c r="E243" s="46" t="s">
        <v>5</v>
      </c>
      <c r="F243" s="30" t="s">
        <v>6</v>
      </c>
      <c r="G243" s="30" t="s">
        <v>7</v>
      </c>
      <c r="H243" s="30" t="s">
        <v>6</v>
      </c>
      <c r="I243" s="30" t="s">
        <v>8</v>
      </c>
      <c r="J243" s="30" t="s">
        <v>6</v>
      </c>
      <c r="K243" s="30" t="s">
        <v>9</v>
      </c>
      <c r="L243" s="30" t="s">
        <v>6</v>
      </c>
      <c r="M243" s="30" t="s">
        <v>10</v>
      </c>
      <c r="N243" s="30" t="s">
        <v>6</v>
      </c>
      <c r="O243" s="30" t="s">
        <v>11</v>
      </c>
      <c r="P243" s="30" t="s">
        <v>6</v>
      </c>
      <c r="Q243" s="30" t="s">
        <v>12</v>
      </c>
      <c r="R243" s="30" t="s">
        <v>6</v>
      </c>
      <c r="S243" s="30" t="s">
        <v>13</v>
      </c>
      <c r="T243" s="50" t="s">
        <v>6</v>
      </c>
    </row>
    <row r="244" spans="1:20" s="45" customFormat="1" ht="165.75" customHeight="1">
      <c r="A244" s="51" t="s">
        <v>795</v>
      </c>
      <c r="B244" s="56">
        <v>3</v>
      </c>
      <c r="C244" s="56">
        <v>12</v>
      </c>
      <c r="D244" s="57">
        <v>24</v>
      </c>
      <c r="E244" s="29" t="s">
        <v>1420</v>
      </c>
      <c r="F244" s="26" t="s">
        <v>1393</v>
      </c>
      <c r="G244" s="29" t="s">
        <v>1421</v>
      </c>
      <c r="H244" s="37" t="s">
        <v>1395</v>
      </c>
      <c r="I244" s="29" t="s">
        <v>1422</v>
      </c>
      <c r="J244" s="34"/>
      <c r="K244" s="29" t="s">
        <v>1423</v>
      </c>
      <c r="L244" s="26"/>
      <c r="M244" s="29" t="s">
        <v>1424</v>
      </c>
      <c r="N244" s="36" t="s">
        <v>1406</v>
      </c>
      <c r="O244" s="29" t="s">
        <v>1425</v>
      </c>
      <c r="P244" s="26"/>
      <c r="Q244" s="29" t="s">
        <v>128</v>
      </c>
      <c r="R244" s="34"/>
      <c r="S244" s="29"/>
      <c r="T244" s="50"/>
    </row>
    <row r="245" spans="1:20" s="45" customFormat="1">
      <c r="A245" s="55"/>
      <c r="B245" s="55"/>
      <c r="C245" s="55"/>
      <c r="D245" s="55"/>
      <c r="E245" s="93" t="s">
        <v>665</v>
      </c>
      <c r="F245" s="94"/>
      <c r="G245" s="94"/>
      <c r="H245" s="94"/>
      <c r="I245" s="94"/>
      <c r="J245" s="94"/>
      <c r="K245" s="94"/>
      <c r="L245" s="94"/>
      <c r="M245" s="94"/>
      <c r="N245" s="94"/>
      <c r="O245" s="94"/>
      <c r="P245" s="94"/>
      <c r="Q245" s="94"/>
      <c r="R245" s="94"/>
      <c r="S245" s="94"/>
      <c r="T245" s="95"/>
    </row>
    <row r="246" spans="1:20" s="45" customFormat="1">
      <c r="A246" s="55"/>
      <c r="B246" s="55"/>
      <c r="C246" s="55"/>
      <c r="D246" s="55"/>
      <c r="E246" s="46" t="s">
        <v>5</v>
      </c>
      <c r="F246" s="30" t="s">
        <v>6</v>
      </c>
      <c r="G246" s="30" t="s">
        <v>7</v>
      </c>
      <c r="H246" s="30" t="s">
        <v>6</v>
      </c>
      <c r="I246" s="30" t="s">
        <v>8</v>
      </c>
      <c r="J246" s="30" t="s">
        <v>6</v>
      </c>
      <c r="K246" s="30" t="s">
        <v>9</v>
      </c>
      <c r="L246" s="30" t="s">
        <v>6</v>
      </c>
      <c r="M246" s="30" t="s">
        <v>10</v>
      </c>
      <c r="N246" s="30" t="s">
        <v>6</v>
      </c>
      <c r="O246" s="30" t="s">
        <v>11</v>
      </c>
      <c r="P246" s="30" t="s">
        <v>6</v>
      </c>
      <c r="Q246" s="30" t="s">
        <v>12</v>
      </c>
      <c r="R246" s="30" t="s">
        <v>6</v>
      </c>
      <c r="S246" s="30" t="s">
        <v>13</v>
      </c>
      <c r="T246" s="50" t="s">
        <v>6</v>
      </c>
    </row>
    <row r="247" spans="1:20" s="45" customFormat="1" ht="184.9">
      <c r="A247" s="51" t="s">
        <v>795</v>
      </c>
      <c r="B247" s="56">
        <v>3</v>
      </c>
      <c r="C247" s="56">
        <v>12</v>
      </c>
      <c r="D247" s="57">
        <v>27</v>
      </c>
      <c r="E247" s="29" t="s">
        <v>1426</v>
      </c>
      <c r="F247" s="26" t="s">
        <v>1427</v>
      </c>
      <c r="G247" s="29" t="s">
        <v>1428</v>
      </c>
      <c r="H247" s="37" t="s">
        <v>1395</v>
      </c>
      <c r="I247" s="29" t="s">
        <v>1396</v>
      </c>
      <c r="J247" s="26"/>
      <c r="K247" s="29" t="s">
        <v>1429</v>
      </c>
      <c r="L247" s="26"/>
      <c r="M247" s="29" t="s">
        <v>1430</v>
      </c>
      <c r="N247" s="36" t="s">
        <v>1406</v>
      </c>
      <c r="O247" s="29" t="s">
        <v>1431</v>
      </c>
      <c r="P247" s="26"/>
      <c r="Q247" s="29" t="s">
        <v>1432</v>
      </c>
      <c r="R247" s="34"/>
      <c r="S247" s="29"/>
      <c r="T247" s="50"/>
    </row>
    <row r="248" spans="1:20" s="45" customFormat="1">
      <c r="A248" s="55"/>
      <c r="B248" s="55"/>
      <c r="C248" s="55"/>
      <c r="D248" s="55"/>
      <c r="E248" s="93" t="s">
        <v>716</v>
      </c>
      <c r="F248" s="94"/>
      <c r="G248" s="94"/>
      <c r="H248" s="94"/>
      <c r="I248" s="94"/>
      <c r="J248" s="94"/>
      <c r="K248" s="94"/>
      <c r="L248" s="94"/>
      <c r="M248" s="94"/>
      <c r="N248" s="94"/>
      <c r="O248" s="94"/>
      <c r="P248" s="94"/>
      <c r="Q248" s="94"/>
      <c r="R248" s="94"/>
      <c r="S248" s="94"/>
      <c r="T248" s="95"/>
    </row>
    <row r="249" spans="1:20" s="45" customFormat="1">
      <c r="A249" s="55"/>
      <c r="B249" s="55"/>
      <c r="C249" s="55"/>
      <c r="D249" s="55"/>
      <c r="E249" s="46" t="s">
        <v>5</v>
      </c>
      <c r="F249" s="30" t="s">
        <v>6</v>
      </c>
      <c r="G249" s="30" t="s">
        <v>7</v>
      </c>
      <c r="H249" s="30" t="s">
        <v>6</v>
      </c>
      <c r="I249" s="30" t="s">
        <v>8</v>
      </c>
      <c r="J249" s="30" t="s">
        <v>6</v>
      </c>
      <c r="K249" s="30" t="s">
        <v>9</v>
      </c>
      <c r="L249" s="30" t="s">
        <v>6</v>
      </c>
      <c r="M249" s="30" t="s">
        <v>10</v>
      </c>
      <c r="N249" s="30" t="s">
        <v>6</v>
      </c>
      <c r="O249" s="30" t="s">
        <v>11</v>
      </c>
      <c r="P249" s="30" t="s">
        <v>6</v>
      </c>
      <c r="Q249" s="30" t="s">
        <v>12</v>
      </c>
      <c r="R249" s="30" t="s">
        <v>6</v>
      </c>
      <c r="S249" s="30" t="s">
        <v>13</v>
      </c>
      <c r="T249" s="50" t="s">
        <v>6</v>
      </c>
    </row>
    <row r="250" spans="1:20" s="45" customFormat="1" ht="198">
      <c r="A250" s="51" t="s">
        <v>795</v>
      </c>
      <c r="B250" s="56">
        <v>3</v>
      </c>
      <c r="C250" s="56">
        <v>13</v>
      </c>
      <c r="D250" s="57">
        <v>8</v>
      </c>
      <c r="E250" s="29" t="s">
        <v>1433</v>
      </c>
      <c r="F250" s="26" t="s">
        <v>19</v>
      </c>
      <c r="G250" s="29" t="s">
        <v>1434</v>
      </c>
      <c r="H250" s="26" t="s">
        <v>19</v>
      </c>
      <c r="I250" s="29" t="s">
        <v>1435</v>
      </c>
      <c r="J250" s="36" t="s">
        <v>1436</v>
      </c>
      <c r="K250" s="29" t="s">
        <v>1437</v>
      </c>
      <c r="L250" s="26" t="s">
        <v>19</v>
      </c>
      <c r="M250" s="29" t="s">
        <v>1438</v>
      </c>
      <c r="N250" s="36" t="s">
        <v>1439</v>
      </c>
      <c r="O250" s="29" t="s">
        <v>1440</v>
      </c>
      <c r="P250" s="26" t="s">
        <v>19</v>
      </c>
      <c r="Q250" s="29" t="s">
        <v>1441</v>
      </c>
      <c r="R250" s="26" t="s">
        <v>19</v>
      </c>
      <c r="S250" s="29"/>
      <c r="T250" s="50"/>
    </row>
    <row r="251" spans="1:20" s="45" customFormat="1">
      <c r="A251" s="55"/>
      <c r="B251" s="55"/>
      <c r="C251" s="55"/>
      <c r="D251" s="55"/>
      <c r="E251" s="93" t="s">
        <v>716</v>
      </c>
      <c r="F251" s="94"/>
      <c r="G251" s="94"/>
      <c r="H251" s="94"/>
      <c r="I251" s="94"/>
      <c r="J251" s="94"/>
      <c r="K251" s="94"/>
      <c r="L251" s="94"/>
      <c r="M251" s="94"/>
      <c r="N251" s="94"/>
      <c r="O251" s="94"/>
      <c r="P251" s="94"/>
      <c r="Q251" s="94"/>
      <c r="R251" s="94"/>
      <c r="S251" s="94"/>
      <c r="T251" s="95"/>
    </row>
    <row r="252" spans="1:20" s="45" customFormat="1">
      <c r="A252" s="55"/>
      <c r="B252" s="55"/>
      <c r="C252" s="55"/>
      <c r="D252" s="55"/>
      <c r="E252" s="46" t="s">
        <v>5</v>
      </c>
      <c r="F252" s="30" t="s">
        <v>6</v>
      </c>
      <c r="G252" s="30" t="s">
        <v>7</v>
      </c>
      <c r="H252" s="30" t="s">
        <v>6</v>
      </c>
      <c r="I252" s="30" t="s">
        <v>8</v>
      </c>
      <c r="J252" s="30" t="s">
        <v>6</v>
      </c>
      <c r="K252" s="30" t="s">
        <v>9</v>
      </c>
      <c r="L252" s="30" t="s">
        <v>6</v>
      </c>
      <c r="M252" s="30" t="s">
        <v>10</v>
      </c>
      <c r="N252" s="30" t="s">
        <v>6</v>
      </c>
      <c r="O252" s="30" t="s">
        <v>11</v>
      </c>
      <c r="P252" s="30" t="s">
        <v>6</v>
      </c>
      <c r="Q252" s="30" t="s">
        <v>12</v>
      </c>
      <c r="R252" s="30" t="s">
        <v>6</v>
      </c>
      <c r="S252" s="30" t="s">
        <v>13</v>
      </c>
      <c r="T252" s="50" t="s">
        <v>6</v>
      </c>
    </row>
    <row r="253" spans="1:20" s="45" customFormat="1" ht="242.25" customHeight="1">
      <c r="A253" s="51" t="s">
        <v>795</v>
      </c>
      <c r="B253" s="56">
        <v>3</v>
      </c>
      <c r="C253" s="56">
        <v>13</v>
      </c>
      <c r="D253" s="57">
        <v>12</v>
      </c>
      <c r="E253" s="29" t="s">
        <v>1442</v>
      </c>
      <c r="F253" s="26" t="s">
        <v>19</v>
      </c>
      <c r="G253" s="29" t="s">
        <v>1443</v>
      </c>
      <c r="H253" s="26" t="s">
        <v>19</v>
      </c>
      <c r="I253" s="29" t="s">
        <v>1444</v>
      </c>
      <c r="J253" s="26" t="s">
        <v>19</v>
      </c>
      <c r="K253" s="29" t="s">
        <v>1445</v>
      </c>
      <c r="L253" s="26" t="s">
        <v>19</v>
      </c>
      <c r="M253" s="29" t="s">
        <v>1446</v>
      </c>
      <c r="N253" s="36" t="s">
        <v>1447</v>
      </c>
      <c r="O253" s="29" t="s">
        <v>1448</v>
      </c>
      <c r="P253" s="26" t="s">
        <v>19</v>
      </c>
      <c r="Q253" s="29" t="s">
        <v>1449</v>
      </c>
      <c r="R253" s="36" t="s">
        <v>1450</v>
      </c>
      <c r="S253" s="29"/>
      <c r="T253" s="50"/>
    </row>
    <row r="254" spans="1:20" s="45" customFormat="1">
      <c r="A254" s="55"/>
      <c r="B254" s="55"/>
      <c r="C254" s="55"/>
      <c r="D254" s="55"/>
      <c r="E254" s="93" t="s">
        <v>716</v>
      </c>
      <c r="F254" s="94"/>
      <c r="G254" s="94"/>
      <c r="H254" s="94"/>
      <c r="I254" s="94"/>
      <c r="J254" s="94"/>
      <c r="K254" s="94"/>
      <c r="L254" s="94"/>
      <c r="M254" s="94"/>
      <c r="N254" s="94"/>
      <c r="O254" s="94"/>
      <c r="P254" s="94"/>
      <c r="Q254" s="94"/>
      <c r="R254" s="94"/>
      <c r="S254" s="94"/>
      <c r="T254" s="95"/>
    </row>
    <row r="255" spans="1:20" s="45" customFormat="1">
      <c r="A255" s="55"/>
      <c r="B255" s="55"/>
      <c r="C255" s="55"/>
      <c r="D255" s="55"/>
      <c r="E255" s="46" t="s">
        <v>5</v>
      </c>
      <c r="F255" s="30" t="s">
        <v>6</v>
      </c>
      <c r="G255" s="30" t="s">
        <v>7</v>
      </c>
      <c r="H255" s="30" t="s">
        <v>6</v>
      </c>
      <c r="I255" s="30" t="s">
        <v>8</v>
      </c>
      <c r="J255" s="30" t="s">
        <v>6</v>
      </c>
      <c r="K255" s="30" t="s">
        <v>9</v>
      </c>
      <c r="L255" s="30" t="s">
        <v>6</v>
      </c>
      <c r="M255" s="30" t="s">
        <v>10</v>
      </c>
      <c r="N255" s="30" t="s">
        <v>6</v>
      </c>
      <c r="O255" s="30" t="s">
        <v>11</v>
      </c>
      <c r="P255" s="30" t="s">
        <v>6</v>
      </c>
      <c r="Q255" s="30" t="s">
        <v>12</v>
      </c>
      <c r="R255" s="30" t="s">
        <v>6</v>
      </c>
      <c r="S255" s="30" t="s">
        <v>13</v>
      </c>
      <c r="T255" s="50" t="s">
        <v>6</v>
      </c>
    </row>
    <row r="256" spans="1:20" s="45" customFormat="1" ht="290.45">
      <c r="A256" s="51" t="s">
        <v>795</v>
      </c>
      <c r="B256" s="56">
        <v>3</v>
      </c>
      <c r="C256" s="56">
        <v>13</v>
      </c>
      <c r="D256" s="57">
        <v>14</v>
      </c>
      <c r="E256" s="29" t="s">
        <v>1451</v>
      </c>
      <c r="F256" s="26" t="s">
        <v>19</v>
      </c>
      <c r="G256" s="29" t="s">
        <v>1452</v>
      </c>
      <c r="H256" s="26" t="s">
        <v>19</v>
      </c>
      <c r="I256" s="29" t="s">
        <v>1453</v>
      </c>
      <c r="J256" s="26" t="s">
        <v>19</v>
      </c>
      <c r="K256" s="29" t="s">
        <v>1454</v>
      </c>
      <c r="L256" s="26" t="s">
        <v>19</v>
      </c>
      <c r="M256" s="29" t="s">
        <v>1455</v>
      </c>
      <c r="N256" s="36" t="s">
        <v>1456</v>
      </c>
      <c r="O256" s="29" t="s">
        <v>1457</v>
      </c>
      <c r="P256" s="26" t="s">
        <v>19</v>
      </c>
      <c r="Q256" s="29" t="s">
        <v>1458</v>
      </c>
      <c r="R256" s="36" t="s">
        <v>1459</v>
      </c>
      <c r="S256" s="29"/>
      <c r="T256" s="50"/>
    </row>
    <row r="257" spans="1:20" s="45" customFormat="1">
      <c r="A257" s="55"/>
      <c r="B257" s="55"/>
      <c r="C257" s="55"/>
      <c r="D257" s="55"/>
      <c r="E257" s="93" t="s">
        <v>716</v>
      </c>
      <c r="F257" s="94"/>
      <c r="G257" s="94"/>
      <c r="H257" s="94"/>
      <c r="I257" s="94"/>
      <c r="J257" s="94"/>
      <c r="K257" s="94"/>
      <c r="L257" s="94"/>
      <c r="M257" s="94"/>
      <c r="N257" s="94"/>
      <c r="O257" s="94"/>
      <c r="P257" s="94"/>
      <c r="Q257" s="94"/>
      <c r="R257" s="94"/>
      <c r="S257" s="94"/>
      <c r="T257" s="95"/>
    </row>
    <row r="258" spans="1:20" s="45" customFormat="1">
      <c r="A258" s="55"/>
      <c r="B258" s="55"/>
      <c r="C258" s="55"/>
      <c r="D258" s="55"/>
      <c r="E258" s="46" t="s">
        <v>5</v>
      </c>
      <c r="F258" s="30" t="s">
        <v>6</v>
      </c>
      <c r="G258" s="30" t="s">
        <v>7</v>
      </c>
      <c r="H258" s="30" t="s">
        <v>6</v>
      </c>
      <c r="I258" s="30" t="s">
        <v>8</v>
      </c>
      <c r="J258" s="30" t="s">
        <v>6</v>
      </c>
      <c r="K258" s="30" t="s">
        <v>9</v>
      </c>
      <c r="L258" s="30" t="s">
        <v>6</v>
      </c>
      <c r="M258" s="30" t="s">
        <v>10</v>
      </c>
      <c r="N258" s="30" t="s">
        <v>6</v>
      </c>
      <c r="O258" s="30" t="s">
        <v>11</v>
      </c>
      <c r="P258" s="30" t="s">
        <v>6</v>
      </c>
      <c r="Q258" s="30" t="s">
        <v>12</v>
      </c>
      <c r="R258" s="30" t="s">
        <v>6</v>
      </c>
      <c r="S258" s="30" t="s">
        <v>13</v>
      </c>
      <c r="T258" s="50" t="s">
        <v>6</v>
      </c>
    </row>
    <row r="259" spans="1:20" s="45" customFormat="1" ht="237.6">
      <c r="A259" s="51" t="s">
        <v>795</v>
      </c>
      <c r="B259" s="56">
        <v>3</v>
      </c>
      <c r="C259" s="56">
        <v>13</v>
      </c>
      <c r="D259" s="57">
        <v>19</v>
      </c>
      <c r="E259" s="29" t="s">
        <v>1460</v>
      </c>
      <c r="F259" s="26" t="s">
        <v>19</v>
      </c>
      <c r="G259" s="29" t="s">
        <v>1461</v>
      </c>
      <c r="H259" s="26" t="s">
        <v>19</v>
      </c>
      <c r="I259" s="29" t="s">
        <v>1435</v>
      </c>
      <c r="J259" s="36" t="s">
        <v>1462</v>
      </c>
      <c r="K259" s="29" t="s">
        <v>1463</v>
      </c>
      <c r="L259" s="26" t="s">
        <v>19</v>
      </c>
      <c r="M259" s="29" t="s">
        <v>1464</v>
      </c>
      <c r="N259" s="36" t="s">
        <v>1465</v>
      </c>
      <c r="O259" s="29" t="s">
        <v>1466</v>
      </c>
      <c r="P259" s="26" t="s">
        <v>19</v>
      </c>
      <c r="Q259" s="29" t="s">
        <v>1467</v>
      </c>
      <c r="R259" s="36" t="s">
        <v>1468</v>
      </c>
      <c r="S259" s="29"/>
      <c r="T259" s="50"/>
    </row>
    <row r="260" spans="1:20" s="45" customFormat="1">
      <c r="A260" s="55"/>
      <c r="B260" s="55"/>
      <c r="C260" s="55"/>
      <c r="D260" s="55"/>
      <c r="E260" s="93" t="s">
        <v>716</v>
      </c>
      <c r="F260" s="94"/>
      <c r="G260" s="94"/>
      <c r="H260" s="94"/>
      <c r="I260" s="94"/>
      <c r="J260" s="94"/>
      <c r="K260" s="94"/>
      <c r="L260" s="94"/>
      <c r="M260" s="94"/>
      <c r="N260" s="94"/>
      <c r="O260" s="94"/>
      <c r="P260" s="94"/>
      <c r="Q260" s="94"/>
      <c r="R260" s="94"/>
      <c r="S260" s="94"/>
      <c r="T260" s="95"/>
    </row>
    <row r="261" spans="1:20" s="45" customFormat="1">
      <c r="A261" s="55"/>
      <c r="B261" s="55"/>
      <c r="C261" s="55"/>
      <c r="D261" s="55"/>
      <c r="E261" s="46" t="s">
        <v>5</v>
      </c>
      <c r="F261" s="30" t="s">
        <v>6</v>
      </c>
      <c r="G261" s="30" t="s">
        <v>7</v>
      </c>
      <c r="H261" s="30" t="s">
        <v>6</v>
      </c>
      <c r="I261" s="30" t="s">
        <v>8</v>
      </c>
      <c r="J261" s="30" t="s">
        <v>6</v>
      </c>
      <c r="K261" s="30" t="s">
        <v>9</v>
      </c>
      <c r="L261" s="30" t="s">
        <v>6</v>
      </c>
      <c r="M261" s="30" t="s">
        <v>10</v>
      </c>
      <c r="N261" s="30" t="s">
        <v>6</v>
      </c>
      <c r="O261" s="30" t="s">
        <v>11</v>
      </c>
      <c r="P261" s="30" t="s">
        <v>6</v>
      </c>
      <c r="Q261" s="30" t="s">
        <v>12</v>
      </c>
      <c r="R261" s="30" t="s">
        <v>6</v>
      </c>
      <c r="S261" s="30" t="s">
        <v>13</v>
      </c>
      <c r="T261" s="50" t="s">
        <v>6</v>
      </c>
    </row>
    <row r="262" spans="1:20" s="45" customFormat="1" ht="250.9">
      <c r="A262" s="51" t="s">
        <v>795</v>
      </c>
      <c r="B262" s="56">
        <v>3</v>
      </c>
      <c r="C262" s="56">
        <v>13</v>
      </c>
      <c r="D262" s="57">
        <v>21</v>
      </c>
      <c r="E262" s="29" t="s">
        <v>1469</v>
      </c>
      <c r="F262" s="26" t="s">
        <v>19</v>
      </c>
      <c r="G262" s="29" t="s">
        <v>1470</v>
      </c>
      <c r="H262" s="26" t="s">
        <v>19</v>
      </c>
      <c r="I262" s="29" t="s">
        <v>1435</v>
      </c>
      <c r="J262" s="36" t="s">
        <v>1471</v>
      </c>
      <c r="K262" s="29" t="s">
        <v>1472</v>
      </c>
      <c r="L262" s="26" t="s">
        <v>19</v>
      </c>
      <c r="M262" s="29" t="s">
        <v>1473</v>
      </c>
      <c r="N262" s="36" t="s">
        <v>1474</v>
      </c>
      <c r="O262" s="29" t="s">
        <v>1475</v>
      </c>
      <c r="P262" s="26" t="s">
        <v>19</v>
      </c>
      <c r="Q262" s="29" t="s">
        <v>1476</v>
      </c>
      <c r="R262" s="36" t="s">
        <v>1477</v>
      </c>
      <c r="S262" s="29"/>
      <c r="T262" s="50"/>
    </row>
    <row r="263" spans="1:20" s="45" customFormat="1">
      <c r="A263" s="55"/>
      <c r="B263" s="55"/>
      <c r="C263" s="55"/>
      <c r="D263" s="55"/>
      <c r="E263" s="93" t="s">
        <v>716</v>
      </c>
      <c r="F263" s="94"/>
      <c r="G263" s="94"/>
      <c r="H263" s="94"/>
      <c r="I263" s="94"/>
      <c r="J263" s="94"/>
      <c r="K263" s="94"/>
      <c r="L263" s="94"/>
      <c r="M263" s="94"/>
      <c r="N263" s="94"/>
      <c r="O263" s="94"/>
      <c r="P263" s="94"/>
      <c r="Q263" s="94"/>
      <c r="R263" s="94"/>
      <c r="S263" s="94"/>
      <c r="T263" s="95"/>
    </row>
    <row r="264" spans="1:20" s="45" customFormat="1">
      <c r="A264" s="55"/>
      <c r="B264" s="55"/>
      <c r="C264" s="55"/>
      <c r="D264" s="55"/>
      <c r="E264" s="46" t="s">
        <v>5</v>
      </c>
      <c r="F264" s="30" t="s">
        <v>6</v>
      </c>
      <c r="G264" s="30" t="s">
        <v>7</v>
      </c>
      <c r="H264" s="30" t="s">
        <v>6</v>
      </c>
      <c r="I264" s="30" t="s">
        <v>8</v>
      </c>
      <c r="J264" s="30" t="s">
        <v>6</v>
      </c>
      <c r="K264" s="30" t="s">
        <v>9</v>
      </c>
      <c r="L264" s="30" t="s">
        <v>6</v>
      </c>
      <c r="M264" s="30" t="s">
        <v>10</v>
      </c>
      <c r="N264" s="30" t="s">
        <v>6</v>
      </c>
      <c r="O264" s="30" t="s">
        <v>11</v>
      </c>
      <c r="P264" s="30" t="s">
        <v>6</v>
      </c>
      <c r="Q264" s="30" t="s">
        <v>12</v>
      </c>
      <c r="R264" s="30" t="s">
        <v>6</v>
      </c>
      <c r="S264" s="30" t="s">
        <v>13</v>
      </c>
      <c r="T264" s="50" t="s">
        <v>6</v>
      </c>
    </row>
    <row r="265" spans="1:20" s="45" customFormat="1" ht="211.15">
      <c r="A265" s="51" t="s">
        <v>795</v>
      </c>
      <c r="B265" s="56">
        <v>3</v>
      </c>
      <c r="C265" s="56">
        <v>13</v>
      </c>
      <c r="D265" s="57">
        <v>25</v>
      </c>
      <c r="E265" s="29" t="s">
        <v>1478</v>
      </c>
      <c r="F265" s="26" t="s">
        <v>19</v>
      </c>
      <c r="G265" s="29" t="s">
        <v>1479</v>
      </c>
      <c r="H265" s="26" t="s">
        <v>19</v>
      </c>
      <c r="I265" s="29" t="s">
        <v>1480</v>
      </c>
      <c r="J265" s="26" t="s">
        <v>19</v>
      </c>
      <c r="K265" s="29" t="s">
        <v>1481</v>
      </c>
      <c r="L265" s="26" t="s">
        <v>19</v>
      </c>
      <c r="M265" s="29" t="s">
        <v>1482</v>
      </c>
      <c r="N265" s="36" t="s">
        <v>1483</v>
      </c>
      <c r="O265" s="29" t="s">
        <v>1484</v>
      </c>
      <c r="P265" s="26" t="s">
        <v>19</v>
      </c>
      <c r="Q265" s="29" t="s">
        <v>1485</v>
      </c>
      <c r="R265" s="36" t="s">
        <v>1477</v>
      </c>
      <c r="S265" s="29"/>
      <c r="T265" s="50"/>
    </row>
    <row r="266" spans="1:20" s="45" customFormat="1">
      <c r="A266" s="55"/>
      <c r="B266" s="55"/>
      <c r="C266" s="55"/>
      <c r="D266" s="55"/>
      <c r="E266" s="93" t="s">
        <v>716</v>
      </c>
      <c r="F266" s="94"/>
      <c r="G266" s="94"/>
      <c r="H266" s="94"/>
      <c r="I266" s="94"/>
      <c r="J266" s="94"/>
      <c r="K266" s="94"/>
      <c r="L266" s="94"/>
      <c r="M266" s="94"/>
      <c r="N266" s="94"/>
      <c r="O266" s="94"/>
      <c r="P266" s="94"/>
      <c r="Q266" s="94"/>
      <c r="R266" s="94"/>
      <c r="S266" s="94"/>
      <c r="T266" s="95"/>
    </row>
    <row r="267" spans="1:20" s="45" customFormat="1">
      <c r="A267" s="55"/>
      <c r="B267" s="55"/>
      <c r="C267" s="55"/>
      <c r="D267" s="55"/>
      <c r="E267" s="46" t="s">
        <v>5</v>
      </c>
      <c r="F267" s="30" t="s">
        <v>6</v>
      </c>
      <c r="G267" s="30" t="s">
        <v>7</v>
      </c>
      <c r="H267" s="30" t="s">
        <v>6</v>
      </c>
      <c r="I267" s="30" t="s">
        <v>8</v>
      </c>
      <c r="J267" s="30" t="s">
        <v>6</v>
      </c>
      <c r="K267" s="30" t="s">
        <v>9</v>
      </c>
      <c r="L267" s="30" t="s">
        <v>6</v>
      </c>
      <c r="M267" s="30" t="s">
        <v>10</v>
      </c>
      <c r="N267" s="30" t="s">
        <v>6</v>
      </c>
      <c r="O267" s="30" t="s">
        <v>11</v>
      </c>
      <c r="P267" s="30" t="s">
        <v>6</v>
      </c>
      <c r="Q267" s="30" t="s">
        <v>12</v>
      </c>
      <c r="R267" s="30" t="s">
        <v>6</v>
      </c>
      <c r="S267" s="30" t="s">
        <v>13</v>
      </c>
      <c r="T267" s="50" t="s">
        <v>6</v>
      </c>
    </row>
    <row r="268" spans="1:20" s="45" customFormat="1" ht="184.9">
      <c r="A268" s="51" t="s">
        <v>795</v>
      </c>
      <c r="B268" s="56">
        <v>3</v>
      </c>
      <c r="C268" s="56">
        <v>13</v>
      </c>
      <c r="D268" s="57">
        <v>29</v>
      </c>
      <c r="E268" s="29" t="s">
        <v>1486</v>
      </c>
      <c r="F268" s="26" t="s">
        <v>19</v>
      </c>
      <c r="G268" s="29" t="s">
        <v>1487</v>
      </c>
      <c r="H268" s="26" t="s">
        <v>19</v>
      </c>
      <c r="I268" s="29" t="s">
        <v>1435</v>
      </c>
      <c r="J268" s="36" t="s">
        <v>1488</v>
      </c>
      <c r="K268" s="29" t="s">
        <v>1489</v>
      </c>
      <c r="L268" s="26" t="s">
        <v>19</v>
      </c>
      <c r="M268" s="29" t="s">
        <v>1490</v>
      </c>
      <c r="N268" s="36" t="s">
        <v>1491</v>
      </c>
      <c r="O268" s="29" t="s">
        <v>1492</v>
      </c>
      <c r="P268" s="26" t="s">
        <v>19</v>
      </c>
      <c r="Q268" s="29" t="s">
        <v>1493</v>
      </c>
      <c r="R268" s="36" t="s">
        <v>1494</v>
      </c>
      <c r="S268" s="29"/>
      <c r="T268" s="50"/>
    </row>
    <row r="269" spans="1:20" s="45" customFormat="1">
      <c r="A269" s="55"/>
      <c r="B269" s="55"/>
      <c r="C269" s="55"/>
      <c r="D269" s="55"/>
      <c r="E269" s="93" t="s">
        <v>716</v>
      </c>
      <c r="F269" s="94"/>
      <c r="G269" s="94"/>
      <c r="H269" s="94"/>
      <c r="I269" s="94"/>
      <c r="J269" s="94"/>
      <c r="K269" s="94"/>
      <c r="L269" s="94"/>
      <c r="M269" s="94"/>
      <c r="N269" s="94"/>
      <c r="O269" s="94"/>
      <c r="P269" s="94"/>
      <c r="Q269" s="94"/>
      <c r="R269" s="94"/>
      <c r="S269" s="94"/>
      <c r="T269" s="95"/>
    </row>
    <row r="270" spans="1:20" s="45" customFormat="1">
      <c r="A270" s="55"/>
      <c r="B270" s="55"/>
      <c r="C270" s="55"/>
      <c r="D270" s="55"/>
      <c r="E270" s="46" t="s">
        <v>5</v>
      </c>
      <c r="F270" s="30" t="s">
        <v>6</v>
      </c>
      <c r="G270" s="30" t="s">
        <v>7</v>
      </c>
      <c r="H270" s="30" t="s">
        <v>6</v>
      </c>
      <c r="I270" s="30" t="s">
        <v>8</v>
      </c>
      <c r="J270" s="30" t="s">
        <v>6</v>
      </c>
      <c r="K270" s="30" t="s">
        <v>9</v>
      </c>
      <c r="L270" s="30" t="s">
        <v>6</v>
      </c>
      <c r="M270" s="30" t="s">
        <v>10</v>
      </c>
      <c r="N270" s="30" t="s">
        <v>6</v>
      </c>
      <c r="O270" s="30" t="s">
        <v>11</v>
      </c>
      <c r="P270" s="30" t="s">
        <v>6</v>
      </c>
      <c r="Q270" s="30" t="s">
        <v>12</v>
      </c>
      <c r="R270" s="30" t="s">
        <v>6</v>
      </c>
      <c r="S270" s="30" t="s">
        <v>13</v>
      </c>
      <c r="T270" s="50" t="s">
        <v>6</v>
      </c>
    </row>
    <row r="271" spans="1:20" s="45" customFormat="1" ht="198">
      <c r="A271" s="51" t="s">
        <v>795</v>
      </c>
      <c r="B271" s="56">
        <v>3</v>
      </c>
      <c r="C271" s="56">
        <v>13</v>
      </c>
      <c r="D271" s="57">
        <v>30</v>
      </c>
      <c r="E271" s="29" t="s">
        <v>1495</v>
      </c>
      <c r="F271" s="26" t="s">
        <v>19</v>
      </c>
      <c r="G271" s="29" t="s">
        <v>1496</v>
      </c>
      <c r="H271" s="26" t="s">
        <v>19</v>
      </c>
      <c r="I271" s="29" t="s">
        <v>1435</v>
      </c>
      <c r="J271" s="36" t="s">
        <v>1488</v>
      </c>
      <c r="K271" s="29" t="s">
        <v>1497</v>
      </c>
      <c r="L271" s="26" t="s">
        <v>19</v>
      </c>
      <c r="M271" s="29" t="s">
        <v>1498</v>
      </c>
      <c r="N271" s="36" t="s">
        <v>1499</v>
      </c>
      <c r="O271" s="29" t="s">
        <v>1500</v>
      </c>
      <c r="P271" s="26" t="s">
        <v>19</v>
      </c>
      <c r="Q271" s="29" t="s">
        <v>1501</v>
      </c>
      <c r="R271" s="36" t="s">
        <v>1502</v>
      </c>
      <c r="S271" s="29"/>
      <c r="T271" s="50"/>
    </row>
  </sheetData>
  <autoFilter ref="A1:D271" xr:uid="{00000000-0001-0000-0000-000000000000}"/>
  <mergeCells count="89">
    <mergeCell ref="E263:T263"/>
    <mergeCell ref="E266:T266"/>
    <mergeCell ref="E269:T269"/>
    <mergeCell ref="E242:T242"/>
    <mergeCell ref="E245:T245"/>
    <mergeCell ref="E248:T248"/>
    <mergeCell ref="E251:T251"/>
    <mergeCell ref="E254:T254"/>
    <mergeCell ref="E257:T257"/>
    <mergeCell ref="E224:T224"/>
    <mergeCell ref="E227:T227"/>
    <mergeCell ref="E230:T230"/>
    <mergeCell ref="E59:T59"/>
    <mergeCell ref="E260:T260"/>
    <mergeCell ref="E239:T239"/>
    <mergeCell ref="E206:T206"/>
    <mergeCell ref="E209:T209"/>
    <mergeCell ref="E212:T212"/>
    <mergeCell ref="E215:T215"/>
    <mergeCell ref="E233:T233"/>
    <mergeCell ref="E236:T236"/>
    <mergeCell ref="E203:T203"/>
    <mergeCell ref="E170:T170"/>
    <mergeCell ref="E173:T173"/>
    <mergeCell ref="E176:T176"/>
    <mergeCell ref="E179:T179"/>
    <mergeCell ref="E182:T182"/>
    <mergeCell ref="E185:T185"/>
    <mergeCell ref="E188:T188"/>
    <mergeCell ref="E191:T191"/>
    <mergeCell ref="E194:T194"/>
    <mergeCell ref="E197:T197"/>
    <mergeCell ref="E200:T200"/>
    <mergeCell ref="E218:T218"/>
    <mergeCell ref="E221:T221"/>
    <mergeCell ref="E167:T167"/>
    <mergeCell ref="E134:T134"/>
    <mergeCell ref="E137:T137"/>
    <mergeCell ref="E140:T140"/>
    <mergeCell ref="E143:T143"/>
    <mergeCell ref="E146:T146"/>
    <mergeCell ref="E149:T149"/>
    <mergeCell ref="E152:T152"/>
    <mergeCell ref="E155:T155"/>
    <mergeCell ref="E158:T158"/>
    <mergeCell ref="E161:T161"/>
    <mergeCell ref="E164:T164"/>
    <mergeCell ref="E131:T131"/>
    <mergeCell ref="E98:T98"/>
    <mergeCell ref="E101:T101"/>
    <mergeCell ref="E104:T104"/>
    <mergeCell ref="E107:T107"/>
    <mergeCell ref="E110:T110"/>
    <mergeCell ref="E113:T113"/>
    <mergeCell ref="E116:T116"/>
    <mergeCell ref="E119:T119"/>
    <mergeCell ref="E122:T122"/>
    <mergeCell ref="E125:T125"/>
    <mergeCell ref="E128:T128"/>
    <mergeCell ref="E95:T95"/>
    <mergeCell ref="E62:T62"/>
    <mergeCell ref="E65:T65"/>
    <mergeCell ref="E68:T68"/>
    <mergeCell ref="E71:T71"/>
    <mergeCell ref="E74:T74"/>
    <mergeCell ref="E77:T77"/>
    <mergeCell ref="E80:T80"/>
    <mergeCell ref="E83:T83"/>
    <mergeCell ref="E86:T86"/>
    <mergeCell ref="E89:T89"/>
    <mergeCell ref="E92:T92"/>
    <mergeCell ref="E56:T56"/>
    <mergeCell ref="E20:T20"/>
    <mergeCell ref="E26:T26"/>
    <mergeCell ref="E29:T29"/>
    <mergeCell ref="E32:T32"/>
    <mergeCell ref="E35:T35"/>
    <mergeCell ref="E38:T38"/>
    <mergeCell ref="E41:T41"/>
    <mergeCell ref="E44:T44"/>
    <mergeCell ref="E47:T47"/>
    <mergeCell ref="E50:T50"/>
    <mergeCell ref="E53:T53"/>
    <mergeCell ref="E17:T17"/>
    <mergeCell ref="E2:T2"/>
    <mergeCell ref="E5:T5"/>
    <mergeCell ref="E8:T8"/>
    <mergeCell ref="E11:T11"/>
    <mergeCell ref="E14:T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817EE-8F9C-4AAF-A07D-FB3AEC90F19E}">
  <dimension ref="A1:AQ271"/>
  <sheetViews>
    <sheetView workbookViewId="0">
      <pane ySplit="1" topLeftCell="A265" activePane="bottomLeft" state="frozen"/>
      <selection pane="bottomLeft" activeCell="M4" sqref="M4"/>
    </sheetView>
  </sheetViews>
  <sheetFormatPr defaultRowHeight="13.9"/>
  <cols>
    <col min="1" max="1" width="11.28515625" bestFit="1" customWidth="1"/>
    <col min="2" max="2" width="10.7109375" bestFit="1" customWidth="1"/>
    <col min="3" max="3" width="5.85546875" bestFit="1" customWidth="1"/>
    <col min="4" max="4" width="6.28515625" bestFit="1" customWidth="1"/>
    <col min="5" max="5" width="24.28515625" customWidth="1"/>
    <col min="6" max="6" width="15.140625" customWidth="1"/>
    <col min="7" max="7" width="27.28515625" customWidth="1"/>
    <col min="8" max="8" width="20.7109375" customWidth="1"/>
    <col min="9" max="9" width="23.140625" customWidth="1"/>
    <col min="10" max="10" width="15.7109375" customWidth="1"/>
    <col min="11" max="11" width="35" customWidth="1"/>
    <col min="12" max="12" width="22.42578125" customWidth="1"/>
    <col min="13" max="13" width="41.42578125" customWidth="1"/>
    <col min="14" max="14" width="16.7109375" customWidth="1"/>
    <col min="15" max="15" width="28.28515625" customWidth="1"/>
    <col min="16" max="16" width="21.28515625" customWidth="1"/>
    <col min="17" max="17" width="23.85546875" customWidth="1"/>
    <col min="18" max="18" width="19.85546875" customWidth="1"/>
    <col min="19" max="19" width="22.5703125" customWidth="1"/>
    <col min="20" max="20" width="9.28515625" bestFit="1" customWidth="1"/>
  </cols>
  <sheetData>
    <row r="1" spans="1:20" ht="15" customHeight="1">
      <c r="A1" s="1" t="s">
        <v>0</v>
      </c>
      <c r="B1" s="2" t="s">
        <v>1</v>
      </c>
      <c r="C1" s="3" t="s">
        <v>2</v>
      </c>
      <c r="D1" s="4" t="s">
        <v>3</v>
      </c>
      <c r="E1" s="5"/>
      <c r="F1" s="2"/>
      <c r="G1" s="2"/>
      <c r="H1" s="2"/>
      <c r="I1" s="2"/>
      <c r="J1" s="2"/>
      <c r="K1" s="2"/>
      <c r="L1" s="2"/>
      <c r="M1" s="2"/>
      <c r="N1" s="2"/>
      <c r="O1" s="2"/>
      <c r="P1" s="2"/>
      <c r="Q1" s="2"/>
      <c r="R1" s="2"/>
      <c r="S1" s="2"/>
      <c r="T1" s="4"/>
    </row>
    <row r="2" spans="1:20" s="45" customFormat="1" ht="15" customHeight="1">
      <c r="A2" s="42"/>
      <c r="B2" s="43"/>
      <c r="C2" s="43"/>
      <c r="D2" s="44"/>
      <c r="E2" s="96" t="s">
        <v>4</v>
      </c>
      <c r="F2" s="96"/>
      <c r="G2" s="96"/>
      <c r="H2" s="96"/>
      <c r="I2" s="96"/>
      <c r="J2" s="96"/>
      <c r="K2" s="96"/>
      <c r="L2" s="96"/>
      <c r="M2" s="96"/>
      <c r="N2" s="96"/>
      <c r="O2" s="96"/>
      <c r="P2" s="96"/>
      <c r="Q2" s="96"/>
      <c r="R2" s="96"/>
      <c r="S2" s="96"/>
      <c r="T2" s="97"/>
    </row>
    <row r="3" spans="1:20" s="45" customFormat="1" ht="15" customHeight="1">
      <c r="A3" s="46"/>
      <c r="B3" s="47"/>
      <c r="C3" s="43"/>
      <c r="D3" s="48"/>
      <c r="E3" s="49" t="s">
        <v>5</v>
      </c>
      <c r="F3" s="30" t="s">
        <v>6</v>
      </c>
      <c r="G3" s="30" t="s">
        <v>7</v>
      </c>
      <c r="H3" s="30" t="s">
        <v>6</v>
      </c>
      <c r="I3" s="30" t="s">
        <v>8</v>
      </c>
      <c r="J3" s="30" t="s">
        <v>6</v>
      </c>
      <c r="K3" s="30" t="s">
        <v>9</v>
      </c>
      <c r="L3" s="30" t="s">
        <v>6</v>
      </c>
      <c r="M3" s="30" t="s">
        <v>10</v>
      </c>
      <c r="N3" s="30" t="s">
        <v>6</v>
      </c>
      <c r="O3" s="30" t="s">
        <v>11</v>
      </c>
      <c r="P3" s="30" t="s">
        <v>6</v>
      </c>
      <c r="Q3" s="30" t="s">
        <v>12</v>
      </c>
      <c r="R3" s="30" t="s">
        <v>6</v>
      </c>
      <c r="S3" s="30" t="s">
        <v>13</v>
      </c>
      <c r="T3" s="50" t="s">
        <v>6</v>
      </c>
    </row>
    <row r="4" spans="1:20" s="45" customFormat="1" ht="273.75" customHeight="1">
      <c r="A4" s="51" t="s">
        <v>1503</v>
      </c>
      <c r="B4" s="29">
        <v>3</v>
      </c>
      <c r="C4" s="52">
        <v>1</v>
      </c>
      <c r="D4" s="53">
        <v>1</v>
      </c>
      <c r="E4" s="54" t="s">
        <v>1504</v>
      </c>
      <c r="F4" s="36" t="s">
        <v>1505</v>
      </c>
      <c r="G4" s="29" t="s">
        <v>1506</v>
      </c>
      <c r="H4" s="36" t="s">
        <v>1505</v>
      </c>
      <c r="I4" s="29" t="s">
        <v>1507</v>
      </c>
      <c r="J4" s="26" t="s">
        <v>19</v>
      </c>
      <c r="K4" s="29" t="s">
        <v>1508</v>
      </c>
      <c r="L4" s="37" t="s">
        <v>1509</v>
      </c>
      <c r="M4" s="29" t="s">
        <v>1510</v>
      </c>
      <c r="N4" s="36" t="s">
        <v>1511</v>
      </c>
      <c r="O4" s="29" t="s">
        <v>1512</v>
      </c>
      <c r="P4" s="26" t="s">
        <v>334</v>
      </c>
      <c r="Q4" s="29" t="s">
        <v>1513</v>
      </c>
      <c r="R4" s="34" t="s">
        <v>1514</v>
      </c>
      <c r="S4" s="29" t="s">
        <v>1515</v>
      </c>
      <c r="T4" s="50"/>
    </row>
    <row r="5" spans="1:20" s="45" customFormat="1" ht="15" customHeight="1">
      <c r="A5" s="55"/>
      <c r="B5" s="55"/>
      <c r="C5" s="55"/>
      <c r="D5" s="55"/>
      <c r="E5" s="98" t="s">
        <v>4</v>
      </c>
      <c r="F5" s="96"/>
      <c r="G5" s="96"/>
      <c r="H5" s="96"/>
      <c r="I5" s="96"/>
      <c r="J5" s="96"/>
      <c r="K5" s="96"/>
      <c r="L5" s="96"/>
      <c r="M5" s="96"/>
      <c r="N5" s="96"/>
      <c r="O5" s="96"/>
      <c r="P5" s="96"/>
      <c r="Q5" s="96"/>
      <c r="R5" s="96"/>
      <c r="S5" s="96"/>
      <c r="T5" s="97"/>
    </row>
    <row r="6" spans="1:20" s="45" customFormat="1" ht="15" customHeight="1">
      <c r="A6" s="55"/>
      <c r="B6" s="55"/>
      <c r="C6" s="55"/>
      <c r="D6" s="55"/>
      <c r="E6" s="46" t="s">
        <v>5</v>
      </c>
      <c r="F6" s="30" t="s">
        <v>6</v>
      </c>
      <c r="G6" s="30" t="s">
        <v>7</v>
      </c>
      <c r="H6" s="30" t="s">
        <v>6</v>
      </c>
      <c r="I6" s="30" t="s">
        <v>8</v>
      </c>
      <c r="J6" s="30" t="s">
        <v>6</v>
      </c>
      <c r="K6" s="30" t="s">
        <v>9</v>
      </c>
      <c r="L6" s="30" t="s">
        <v>6</v>
      </c>
      <c r="M6" s="30" t="s">
        <v>10</v>
      </c>
      <c r="N6" s="30" t="s">
        <v>6</v>
      </c>
      <c r="O6" s="30" t="s">
        <v>11</v>
      </c>
      <c r="P6" s="30" t="s">
        <v>6</v>
      </c>
      <c r="Q6" s="30" t="s">
        <v>12</v>
      </c>
      <c r="R6" s="30" t="s">
        <v>6</v>
      </c>
      <c r="S6" s="30" t="s">
        <v>13</v>
      </c>
      <c r="T6" s="50" t="s">
        <v>6</v>
      </c>
    </row>
    <row r="7" spans="1:20" s="45" customFormat="1" ht="267" customHeight="1">
      <c r="A7" s="51" t="s">
        <v>1503</v>
      </c>
      <c r="B7" s="56">
        <v>3</v>
      </c>
      <c r="C7" s="56">
        <v>1</v>
      </c>
      <c r="D7" s="57">
        <v>5</v>
      </c>
      <c r="E7" s="51" t="s">
        <v>1516</v>
      </c>
      <c r="F7" s="36" t="s">
        <v>1517</v>
      </c>
      <c r="G7" s="29" t="s">
        <v>1518</v>
      </c>
      <c r="H7" s="36" t="s">
        <v>1519</v>
      </c>
      <c r="I7" s="29" t="s">
        <v>1520</v>
      </c>
      <c r="J7" s="26" t="s">
        <v>19</v>
      </c>
      <c r="K7" s="29" t="s">
        <v>1521</v>
      </c>
      <c r="L7" s="36" t="s">
        <v>1522</v>
      </c>
      <c r="M7" s="29" t="s">
        <v>1523</v>
      </c>
      <c r="N7" s="36" t="s">
        <v>1524</v>
      </c>
      <c r="O7" s="29" t="s">
        <v>1525</v>
      </c>
      <c r="P7" s="26" t="s">
        <v>19</v>
      </c>
      <c r="Q7" s="29" t="s">
        <v>1526</v>
      </c>
      <c r="R7" s="34" t="s">
        <v>1527</v>
      </c>
      <c r="S7" s="29" t="s">
        <v>1528</v>
      </c>
      <c r="T7" s="50"/>
    </row>
    <row r="8" spans="1:20" s="45" customFormat="1" ht="15" customHeight="1">
      <c r="A8" s="55"/>
      <c r="B8" s="55"/>
      <c r="C8" s="55"/>
      <c r="D8" s="55"/>
      <c r="E8" s="93" t="s">
        <v>4</v>
      </c>
      <c r="F8" s="94"/>
      <c r="G8" s="94"/>
      <c r="H8" s="94"/>
      <c r="I8" s="94"/>
      <c r="J8" s="94"/>
      <c r="K8" s="94"/>
      <c r="L8" s="94"/>
      <c r="M8" s="94"/>
      <c r="N8" s="94"/>
      <c r="O8" s="94"/>
      <c r="P8" s="94"/>
      <c r="Q8" s="94"/>
      <c r="R8" s="94"/>
      <c r="S8" s="94"/>
      <c r="T8" s="95"/>
    </row>
    <row r="9" spans="1:20" s="45" customFormat="1" ht="15" customHeight="1">
      <c r="A9" s="55"/>
      <c r="B9" s="55"/>
      <c r="C9" s="55"/>
      <c r="D9" s="55"/>
      <c r="E9" s="46" t="s">
        <v>5</v>
      </c>
      <c r="F9" s="30" t="s">
        <v>6</v>
      </c>
      <c r="G9" s="30" t="s">
        <v>7</v>
      </c>
      <c r="H9" s="30" t="s">
        <v>6</v>
      </c>
      <c r="I9" s="30" t="s">
        <v>8</v>
      </c>
      <c r="J9" s="30" t="s">
        <v>6</v>
      </c>
      <c r="K9" s="30" t="s">
        <v>9</v>
      </c>
      <c r="L9" s="30" t="s">
        <v>6</v>
      </c>
      <c r="M9" s="30" t="s">
        <v>10</v>
      </c>
      <c r="N9" s="30" t="s">
        <v>6</v>
      </c>
      <c r="O9" s="30" t="s">
        <v>11</v>
      </c>
      <c r="P9" s="30" t="s">
        <v>6</v>
      </c>
      <c r="Q9" s="30" t="s">
        <v>12</v>
      </c>
      <c r="R9" s="30" t="s">
        <v>6</v>
      </c>
      <c r="S9" s="30" t="s">
        <v>13</v>
      </c>
      <c r="T9" s="50" t="s">
        <v>6</v>
      </c>
    </row>
    <row r="10" spans="1:20" s="45" customFormat="1" ht="198">
      <c r="A10" s="51" t="s">
        <v>1503</v>
      </c>
      <c r="B10" s="56">
        <v>3</v>
      </c>
      <c r="C10" s="56">
        <v>1</v>
      </c>
      <c r="D10" s="57">
        <v>6</v>
      </c>
      <c r="E10" s="51" t="s">
        <v>1529</v>
      </c>
      <c r="F10" s="36" t="s">
        <v>1530</v>
      </c>
      <c r="G10" s="29" t="s">
        <v>1531</v>
      </c>
      <c r="H10" s="36" t="s">
        <v>1532</v>
      </c>
      <c r="I10" s="29" t="s">
        <v>1520</v>
      </c>
      <c r="J10" s="26" t="s">
        <v>19</v>
      </c>
      <c r="K10" s="29" t="s">
        <v>1533</v>
      </c>
      <c r="L10" s="36" t="s">
        <v>1534</v>
      </c>
      <c r="M10" s="29" t="s">
        <v>1535</v>
      </c>
      <c r="N10" s="36" t="s">
        <v>1536</v>
      </c>
      <c r="O10" s="29" t="s">
        <v>1537</v>
      </c>
      <c r="P10" s="36" t="s">
        <v>1538</v>
      </c>
      <c r="Q10" s="29" t="s">
        <v>23</v>
      </c>
      <c r="R10" s="34" t="s">
        <v>1539</v>
      </c>
      <c r="S10" s="29" t="s">
        <v>1540</v>
      </c>
      <c r="T10" s="50"/>
    </row>
    <row r="11" spans="1:20" s="45" customFormat="1" ht="15" customHeight="1">
      <c r="A11" s="55"/>
      <c r="B11" s="55"/>
      <c r="C11" s="55"/>
      <c r="D11" s="55"/>
      <c r="E11" s="93" t="s">
        <v>4</v>
      </c>
      <c r="F11" s="94"/>
      <c r="G11" s="94"/>
      <c r="H11" s="94"/>
      <c r="I11" s="94"/>
      <c r="J11" s="94"/>
      <c r="K11" s="94"/>
      <c r="L11" s="94"/>
      <c r="M11" s="94"/>
      <c r="N11" s="94"/>
      <c r="O11" s="94"/>
      <c r="P11" s="94"/>
      <c r="Q11" s="94"/>
      <c r="R11" s="94"/>
      <c r="S11" s="94"/>
      <c r="T11" s="95"/>
    </row>
    <row r="12" spans="1:20" s="45" customFormat="1" ht="15" customHeight="1">
      <c r="A12" s="55"/>
      <c r="B12" s="55"/>
      <c r="C12" s="55"/>
      <c r="D12" s="55"/>
      <c r="E12" s="46" t="s">
        <v>5</v>
      </c>
      <c r="F12" s="30" t="s">
        <v>6</v>
      </c>
      <c r="G12" s="30" t="s">
        <v>7</v>
      </c>
      <c r="H12" s="30" t="s">
        <v>6</v>
      </c>
      <c r="I12" s="30" t="s">
        <v>8</v>
      </c>
      <c r="J12" s="30" t="s">
        <v>6</v>
      </c>
      <c r="K12" s="30" t="s">
        <v>9</v>
      </c>
      <c r="L12" s="30" t="s">
        <v>6</v>
      </c>
      <c r="M12" s="30" t="s">
        <v>10</v>
      </c>
      <c r="N12" s="30" t="s">
        <v>6</v>
      </c>
      <c r="O12" s="30" t="s">
        <v>11</v>
      </c>
      <c r="P12" s="30" t="s">
        <v>6</v>
      </c>
      <c r="Q12" s="30" t="s">
        <v>12</v>
      </c>
      <c r="R12" s="30" t="s">
        <v>6</v>
      </c>
      <c r="S12" s="30" t="s">
        <v>13</v>
      </c>
      <c r="T12" s="50" t="s">
        <v>6</v>
      </c>
    </row>
    <row r="13" spans="1:20" s="45" customFormat="1" ht="211.15">
      <c r="A13" s="51" t="s">
        <v>1503</v>
      </c>
      <c r="B13" s="56">
        <v>3</v>
      </c>
      <c r="C13" s="56">
        <v>1</v>
      </c>
      <c r="D13" s="57">
        <v>7</v>
      </c>
      <c r="E13" s="51" t="s">
        <v>1541</v>
      </c>
      <c r="F13" s="36" t="s">
        <v>1542</v>
      </c>
      <c r="G13" s="29" t="s">
        <v>1543</v>
      </c>
      <c r="H13" s="36" t="s">
        <v>1542</v>
      </c>
      <c r="I13" s="29" t="s">
        <v>1544</v>
      </c>
      <c r="J13" s="26" t="s">
        <v>19</v>
      </c>
      <c r="K13" s="29" t="s">
        <v>1545</v>
      </c>
      <c r="L13" s="36" t="s">
        <v>1546</v>
      </c>
      <c r="M13" s="29" t="s">
        <v>1547</v>
      </c>
      <c r="N13" s="36" t="s">
        <v>1548</v>
      </c>
      <c r="O13" s="29" t="s">
        <v>1549</v>
      </c>
      <c r="P13" s="26" t="s">
        <v>19</v>
      </c>
      <c r="Q13" s="29" t="s">
        <v>128</v>
      </c>
      <c r="R13" s="34" t="s">
        <v>1550</v>
      </c>
      <c r="S13" s="29" t="s">
        <v>1551</v>
      </c>
      <c r="T13" s="50"/>
    </row>
    <row r="14" spans="1:20" s="45" customFormat="1" ht="15" customHeight="1">
      <c r="A14" s="55"/>
      <c r="B14" s="55"/>
      <c r="C14" s="55"/>
      <c r="D14" s="55"/>
      <c r="E14" s="93" t="s">
        <v>4</v>
      </c>
      <c r="F14" s="94"/>
      <c r="G14" s="94"/>
      <c r="H14" s="94"/>
      <c r="I14" s="94"/>
      <c r="J14" s="94"/>
      <c r="K14" s="94"/>
      <c r="L14" s="94"/>
      <c r="M14" s="94"/>
      <c r="N14" s="94"/>
      <c r="O14" s="94"/>
      <c r="P14" s="94"/>
      <c r="Q14" s="94"/>
      <c r="R14" s="94"/>
      <c r="S14" s="94"/>
      <c r="T14" s="95"/>
    </row>
    <row r="15" spans="1:20" s="45" customFormat="1" ht="15" customHeight="1">
      <c r="A15" s="55"/>
      <c r="B15" s="55"/>
      <c r="C15" s="55"/>
      <c r="D15" s="55"/>
      <c r="E15" s="46" t="s">
        <v>5</v>
      </c>
      <c r="F15" s="30" t="s">
        <v>6</v>
      </c>
      <c r="G15" s="30" t="s">
        <v>7</v>
      </c>
      <c r="H15" s="30" t="s">
        <v>6</v>
      </c>
      <c r="I15" s="30" t="s">
        <v>8</v>
      </c>
      <c r="J15" s="30" t="s">
        <v>6</v>
      </c>
      <c r="K15" s="30" t="s">
        <v>9</v>
      </c>
      <c r="L15" s="30" t="s">
        <v>6</v>
      </c>
      <c r="M15" s="30" t="s">
        <v>10</v>
      </c>
      <c r="N15" s="30" t="s">
        <v>6</v>
      </c>
      <c r="O15" s="30" t="s">
        <v>11</v>
      </c>
      <c r="P15" s="30" t="s">
        <v>6</v>
      </c>
      <c r="Q15" s="30" t="s">
        <v>12</v>
      </c>
      <c r="R15" s="30" t="s">
        <v>6</v>
      </c>
      <c r="S15" s="30" t="s">
        <v>13</v>
      </c>
      <c r="T15" s="50" t="s">
        <v>6</v>
      </c>
    </row>
    <row r="16" spans="1:20" s="45" customFormat="1" ht="211.15">
      <c r="A16" s="51" t="s">
        <v>1503</v>
      </c>
      <c r="B16" s="56">
        <v>3</v>
      </c>
      <c r="C16" s="56">
        <v>1</v>
      </c>
      <c r="D16" s="57">
        <v>8</v>
      </c>
      <c r="E16" s="51" t="s">
        <v>1552</v>
      </c>
      <c r="F16" s="36" t="s">
        <v>1553</v>
      </c>
      <c r="G16" s="29" t="s">
        <v>1554</v>
      </c>
      <c r="H16" s="36" t="s">
        <v>1555</v>
      </c>
      <c r="I16" s="29" t="s">
        <v>1556</v>
      </c>
      <c r="J16" s="26" t="s">
        <v>19</v>
      </c>
      <c r="K16" s="29" t="s">
        <v>1557</v>
      </c>
      <c r="L16" s="36" t="s">
        <v>1558</v>
      </c>
      <c r="M16" s="29" t="s">
        <v>1559</v>
      </c>
      <c r="N16" s="36" t="s">
        <v>1560</v>
      </c>
      <c r="O16" s="29" t="s">
        <v>1561</v>
      </c>
      <c r="P16" s="26" t="s">
        <v>19</v>
      </c>
      <c r="Q16" s="29" t="s">
        <v>1562</v>
      </c>
      <c r="R16" s="34" t="s">
        <v>1563</v>
      </c>
      <c r="S16" s="29" t="s">
        <v>1564</v>
      </c>
      <c r="T16" s="50"/>
    </row>
    <row r="17" spans="1:20" s="45" customFormat="1" ht="15" customHeight="1">
      <c r="A17" s="55"/>
      <c r="B17" s="55"/>
      <c r="C17" s="55"/>
      <c r="D17" s="55"/>
      <c r="E17" s="93" t="s">
        <v>4</v>
      </c>
      <c r="F17" s="94"/>
      <c r="G17" s="94"/>
      <c r="H17" s="94"/>
      <c r="I17" s="94"/>
      <c r="J17" s="94"/>
      <c r="K17" s="94"/>
      <c r="L17" s="94"/>
      <c r="M17" s="94"/>
      <c r="N17" s="94"/>
      <c r="O17" s="94"/>
      <c r="P17" s="94"/>
      <c r="Q17" s="94"/>
      <c r="R17" s="94"/>
      <c r="S17" s="94"/>
      <c r="T17" s="95"/>
    </row>
    <row r="18" spans="1:20" s="45" customFormat="1" ht="15" customHeight="1">
      <c r="A18" s="55"/>
      <c r="B18" s="55"/>
      <c r="C18" s="55"/>
      <c r="D18" s="55"/>
      <c r="E18" s="46" t="s">
        <v>5</v>
      </c>
      <c r="F18" s="30" t="s">
        <v>6</v>
      </c>
      <c r="G18" s="30" t="s">
        <v>7</v>
      </c>
      <c r="H18" s="30" t="s">
        <v>6</v>
      </c>
      <c r="I18" s="30" t="s">
        <v>8</v>
      </c>
      <c r="J18" s="30" t="s">
        <v>6</v>
      </c>
      <c r="K18" s="30" t="s">
        <v>9</v>
      </c>
      <c r="L18" s="30" t="s">
        <v>6</v>
      </c>
      <c r="M18" s="30" t="s">
        <v>10</v>
      </c>
      <c r="N18" s="30" t="s">
        <v>6</v>
      </c>
      <c r="O18" s="30" t="s">
        <v>11</v>
      </c>
      <c r="P18" s="30" t="s">
        <v>6</v>
      </c>
      <c r="Q18" s="30" t="s">
        <v>12</v>
      </c>
      <c r="R18" s="30" t="s">
        <v>6</v>
      </c>
      <c r="S18" s="30" t="s">
        <v>13</v>
      </c>
      <c r="T18" s="50" t="s">
        <v>6</v>
      </c>
    </row>
    <row r="19" spans="1:20" s="45" customFormat="1" ht="158.44999999999999">
      <c r="A19" s="51" t="s">
        <v>1503</v>
      </c>
      <c r="B19" s="56">
        <v>3</v>
      </c>
      <c r="C19" s="56">
        <v>1</v>
      </c>
      <c r="D19" s="57">
        <v>9</v>
      </c>
      <c r="E19" s="51" t="s">
        <v>1565</v>
      </c>
      <c r="F19" s="36" t="s">
        <v>1566</v>
      </c>
      <c r="G19" s="29" t="s">
        <v>1567</v>
      </c>
      <c r="H19" s="36" t="s">
        <v>1568</v>
      </c>
      <c r="I19" s="29" t="s">
        <v>1556</v>
      </c>
      <c r="J19" s="26" t="s">
        <v>19</v>
      </c>
      <c r="K19" s="29" t="s">
        <v>1569</v>
      </c>
      <c r="L19" s="36" t="s">
        <v>1570</v>
      </c>
      <c r="M19" s="29" t="s">
        <v>1571</v>
      </c>
      <c r="N19" s="36" t="s">
        <v>1572</v>
      </c>
      <c r="O19" s="29" t="s">
        <v>1573</v>
      </c>
      <c r="P19" s="26" t="s">
        <v>19</v>
      </c>
      <c r="Q19" s="29" t="s">
        <v>128</v>
      </c>
      <c r="R19" s="34" t="s">
        <v>1574</v>
      </c>
      <c r="S19" s="29" t="s">
        <v>1575</v>
      </c>
      <c r="T19" s="50"/>
    </row>
    <row r="20" spans="1:20" s="45" customFormat="1" ht="15" customHeight="1">
      <c r="A20" s="55"/>
      <c r="B20" s="55"/>
      <c r="C20" s="55"/>
      <c r="D20" s="55"/>
      <c r="E20" s="93" t="s">
        <v>73</v>
      </c>
      <c r="F20" s="94"/>
      <c r="G20" s="94"/>
      <c r="H20" s="94"/>
      <c r="I20" s="94"/>
      <c r="J20" s="94"/>
      <c r="K20" s="94"/>
      <c r="L20" s="94"/>
      <c r="M20" s="94"/>
      <c r="N20" s="94"/>
      <c r="O20" s="94"/>
      <c r="P20" s="94"/>
      <c r="Q20" s="94"/>
      <c r="R20" s="94"/>
      <c r="S20" s="94"/>
      <c r="T20" s="95"/>
    </row>
    <row r="21" spans="1:20" s="45" customFormat="1" ht="15" customHeight="1">
      <c r="A21" s="55"/>
      <c r="B21" s="55"/>
      <c r="C21" s="55"/>
      <c r="D21" s="55"/>
      <c r="E21" s="46" t="s">
        <v>5</v>
      </c>
      <c r="F21" s="30" t="s">
        <v>6</v>
      </c>
      <c r="G21" s="30" t="s">
        <v>7</v>
      </c>
      <c r="H21" s="30" t="s">
        <v>6</v>
      </c>
      <c r="I21" s="30" t="s">
        <v>8</v>
      </c>
      <c r="J21" s="30" t="s">
        <v>6</v>
      </c>
      <c r="K21" s="30" t="s">
        <v>9</v>
      </c>
      <c r="L21" s="30" t="s">
        <v>6</v>
      </c>
      <c r="M21" s="30" t="s">
        <v>10</v>
      </c>
      <c r="N21" s="30" t="s">
        <v>6</v>
      </c>
      <c r="O21" s="30" t="s">
        <v>11</v>
      </c>
      <c r="P21" s="30" t="s">
        <v>6</v>
      </c>
      <c r="Q21" s="30" t="s">
        <v>12</v>
      </c>
      <c r="R21" s="30" t="s">
        <v>6</v>
      </c>
      <c r="S21" s="30" t="s">
        <v>13</v>
      </c>
      <c r="T21" s="50" t="s">
        <v>6</v>
      </c>
    </row>
    <row r="22" spans="1:20" s="45" customFormat="1" ht="156.75" customHeight="1">
      <c r="A22" s="51" t="s">
        <v>1503</v>
      </c>
      <c r="B22" s="56">
        <v>3</v>
      </c>
      <c r="C22" s="56">
        <v>2</v>
      </c>
      <c r="D22" s="57">
        <v>1</v>
      </c>
      <c r="E22" s="51" t="s">
        <v>1576</v>
      </c>
      <c r="F22" s="26" t="s">
        <v>19</v>
      </c>
      <c r="G22" s="29" t="s">
        <v>1577</v>
      </c>
      <c r="H22" s="34" t="s">
        <v>1578</v>
      </c>
      <c r="I22" s="29" t="s">
        <v>1579</v>
      </c>
      <c r="J22" s="26" t="s">
        <v>19</v>
      </c>
      <c r="K22" s="29" t="s">
        <v>1580</v>
      </c>
      <c r="L22" s="26" t="s">
        <v>19</v>
      </c>
      <c r="M22" s="29" t="s">
        <v>1581</v>
      </c>
      <c r="N22" s="26" t="s">
        <v>19</v>
      </c>
      <c r="O22" s="29" t="s">
        <v>1582</v>
      </c>
      <c r="P22" s="26" t="s">
        <v>19</v>
      </c>
      <c r="Q22" s="29" t="s">
        <v>1583</v>
      </c>
      <c r="R22" s="34" t="s">
        <v>1584</v>
      </c>
      <c r="S22" s="29"/>
      <c r="T22" s="50"/>
    </row>
    <row r="23" spans="1:20" s="45" customFormat="1" ht="15" customHeight="1">
      <c r="A23" s="55"/>
      <c r="B23" s="55"/>
      <c r="C23" s="55"/>
      <c r="D23" s="55"/>
      <c r="E23" s="58" t="s">
        <v>73</v>
      </c>
      <c r="F23" s="59"/>
      <c r="H23" s="59"/>
      <c r="I23" s="59"/>
      <c r="J23" s="59"/>
      <c r="K23" s="59"/>
      <c r="L23" s="59"/>
      <c r="M23" s="59"/>
      <c r="N23" s="59"/>
      <c r="P23" s="59"/>
      <c r="Q23" s="59"/>
      <c r="R23" s="59"/>
      <c r="S23" s="59"/>
      <c r="T23" s="60"/>
    </row>
    <row r="24" spans="1:20" s="45" customFormat="1" ht="15" customHeight="1">
      <c r="A24" s="55"/>
      <c r="B24" s="55"/>
      <c r="C24" s="55"/>
      <c r="D24" s="55"/>
      <c r="E24" s="46" t="s">
        <v>5</v>
      </c>
      <c r="F24" s="30" t="s">
        <v>6</v>
      </c>
      <c r="G24" s="30" t="s">
        <v>7</v>
      </c>
      <c r="H24" s="30" t="s">
        <v>6</v>
      </c>
      <c r="I24" s="30" t="s">
        <v>8</v>
      </c>
      <c r="J24" s="30" t="s">
        <v>6</v>
      </c>
      <c r="K24" s="30" t="s">
        <v>9</v>
      </c>
      <c r="L24" s="30" t="s">
        <v>6</v>
      </c>
      <c r="M24" s="30" t="s">
        <v>10</v>
      </c>
      <c r="N24" s="30" t="s">
        <v>6</v>
      </c>
      <c r="O24" s="30" t="s">
        <v>11</v>
      </c>
      <c r="P24" s="30" t="s">
        <v>6</v>
      </c>
      <c r="Q24" s="30" t="s">
        <v>12</v>
      </c>
      <c r="R24" s="30" t="s">
        <v>6</v>
      </c>
      <c r="S24" s="30" t="s">
        <v>13</v>
      </c>
      <c r="T24" s="50" t="s">
        <v>6</v>
      </c>
    </row>
    <row r="25" spans="1:20" s="45" customFormat="1" ht="193.5" customHeight="1">
      <c r="A25" s="51" t="s">
        <v>1503</v>
      </c>
      <c r="B25" s="56">
        <v>3</v>
      </c>
      <c r="C25" s="56">
        <v>2</v>
      </c>
      <c r="D25" s="57">
        <v>10</v>
      </c>
      <c r="E25" s="29" t="s">
        <v>1585</v>
      </c>
      <c r="F25" s="26" t="s">
        <v>19</v>
      </c>
      <c r="G25" s="29" t="s">
        <v>1586</v>
      </c>
      <c r="H25" s="34" t="s">
        <v>1587</v>
      </c>
      <c r="I25" s="29" t="s">
        <v>1588</v>
      </c>
      <c r="J25" s="26" t="s">
        <v>19</v>
      </c>
      <c r="K25" s="29" t="s">
        <v>1589</v>
      </c>
      <c r="L25" s="26" t="s">
        <v>19</v>
      </c>
      <c r="M25" s="29" t="s">
        <v>1590</v>
      </c>
      <c r="N25" s="26" t="s">
        <v>19</v>
      </c>
      <c r="O25" s="29" t="s">
        <v>1591</v>
      </c>
      <c r="P25" s="26" t="s">
        <v>19</v>
      </c>
      <c r="Q25" s="29" t="s">
        <v>1592</v>
      </c>
      <c r="R25" s="26" t="s">
        <v>19</v>
      </c>
      <c r="S25" s="29"/>
      <c r="T25" s="50"/>
    </row>
    <row r="26" spans="1:20" s="45" customFormat="1" ht="15" customHeight="1">
      <c r="A26" s="55"/>
      <c r="B26" s="55"/>
      <c r="C26" s="55"/>
      <c r="D26" s="55"/>
      <c r="E26" s="93" t="s">
        <v>73</v>
      </c>
      <c r="F26" s="94"/>
      <c r="G26" s="94"/>
      <c r="H26" s="94"/>
      <c r="I26" s="94"/>
      <c r="J26" s="94"/>
      <c r="K26" s="94"/>
      <c r="L26" s="94"/>
      <c r="M26" s="94"/>
      <c r="N26" s="94"/>
      <c r="O26" s="94"/>
      <c r="P26" s="94"/>
      <c r="Q26" s="94"/>
      <c r="R26" s="94"/>
      <c r="S26" s="94"/>
      <c r="T26" s="95"/>
    </row>
    <row r="27" spans="1:20" s="45" customFormat="1" ht="15" customHeight="1">
      <c r="A27" s="55"/>
      <c r="B27" s="55"/>
      <c r="C27" s="55"/>
      <c r="D27" s="55"/>
      <c r="E27" s="46" t="s">
        <v>5</v>
      </c>
      <c r="F27" s="30" t="s">
        <v>6</v>
      </c>
      <c r="G27" s="30" t="s">
        <v>7</v>
      </c>
      <c r="H27" s="30" t="s">
        <v>6</v>
      </c>
      <c r="I27" s="30" t="s">
        <v>8</v>
      </c>
      <c r="J27" s="30" t="s">
        <v>6</v>
      </c>
      <c r="K27" s="30" t="s">
        <v>9</v>
      </c>
      <c r="L27" s="30" t="s">
        <v>6</v>
      </c>
      <c r="M27" s="30" t="s">
        <v>10</v>
      </c>
      <c r="N27" s="30" t="s">
        <v>6</v>
      </c>
      <c r="O27" s="30" t="s">
        <v>11</v>
      </c>
      <c r="P27" s="30" t="s">
        <v>6</v>
      </c>
      <c r="Q27" s="30" t="s">
        <v>12</v>
      </c>
      <c r="R27" s="30" t="s">
        <v>6</v>
      </c>
      <c r="S27" s="30" t="s">
        <v>13</v>
      </c>
      <c r="T27" s="50" t="s">
        <v>6</v>
      </c>
    </row>
    <row r="28" spans="1:20" s="45" customFormat="1" ht="192" customHeight="1">
      <c r="A28" s="51" t="s">
        <v>1503</v>
      </c>
      <c r="B28" s="56">
        <v>3</v>
      </c>
      <c r="C28" s="56">
        <v>2</v>
      </c>
      <c r="D28" s="57">
        <v>11</v>
      </c>
      <c r="E28" s="29" t="s">
        <v>1593</v>
      </c>
      <c r="F28" s="26" t="s">
        <v>19</v>
      </c>
      <c r="G28" s="29" t="s">
        <v>1594</v>
      </c>
      <c r="H28" s="34" t="s">
        <v>1587</v>
      </c>
      <c r="I28" s="29" t="s">
        <v>1595</v>
      </c>
      <c r="J28" s="26" t="s">
        <v>19</v>
      </c>
      <c r="K28" s="29" t="s">
        <v>1596</v>
      </c>
      <c r="L28" s="26" t="s">
        <v>19</v>
      </c>
      <c r="M28" s="29" t="s">
        <v>1597</v>
      </c>
      <c r="N28" s="26" t="s">
        <v>19</v>
      </c>
      <c r="O28" s="29" t="s">
        <v>1598</v>
      </c>
      <c r="P28" s="26" t="s">
        <v>19</v>
      </c>
      <c r="Q28" s="29" t="s">
        <v>1599</v>
      </c>
      <c r="R28" s="26" t="s">
        <v>19</v>
      </c>
      <c r="S28" s="29"/>
      <c r="T28" s="50"/>
    </row>
    <row r="29" spans="1:20" s="45" customFormat="1" ht="15" customHeight="1">
      <c r="A29" s="55"/>
      <c r="B29" s="55"/>
      <c r="C29" s="55"/>
      <c r="D29" s="55"/>
      <c r="E29" s="93" t="s">
        <v>73</v>
      </c>
      <c r="F29" s="94"/>
      <c r="G29" s="94"/>
      <c r="H29" s="94"/>
      <c r="I29" s="94"/>
      <c r="J29" s="94"/>
      <c r="K29" s="94"/>
      <c r="L29" s="94"/>
      <c r="M29" s="94"/>
      <c r="N29" s="94"/>
      <c r="O29" s="94"/>
      <c r="P29" s="94"/>
      <c r="Q29" s="94"/>
      <c r="R29" s="94"/>
      <c r="S29" s="94"/>
      <c r="T29" s="95"/>
    </row>
    <row r="30" spans="1:20" s="45" customFormat="1" ht="15" customHeight="1">
      <c r="A30" s="55"/>
      <c r="B30" s="55"/>
      <c r="C30" s="55"/>
      <c r="D30" s="55"/>
      <c r="E30" s="46" t="s">
        <v>5</v>
      </c>
      <c r="F30" s="30" t="s">
        <v>6</v>
      </c>
      <c r="G30" s="30" t="s">
        <v>7</v>
      </c>
      <c r="H30" s="30" t="s">
        <v>6</v>
      </c>
      <c r="I30" s="30" t="s">
        <v>8</v>
      </c>
      <c r="J30" s="30" t="s">
        <v>6</v>
      </c>
      <c r="K30" s="30" t="s">
        <v>9</v>
      </c>
      <c r="L30" s="30" t="s">
        <v>6</v>
      </c>
      <c r="M30" s="30" t="s">
        <v>10</v>
      </c>
      <c r="N30" s="30" t="s">
        <v>6</v>
      </c>
      <c r="O30" s="30" t="s">
        <v>11</v>
      </c>
      <c r="P30" s="30" t="s">
        <v>6</v>
      </c>
      <c r="Q30" s="30" t="s">
        <v>12</v>
      </c>
      <c r="R30" s="30" t="s">
        <v>6</v>
      </c>
      <c r="S30" s="30" t="s">
        <v>13</v>
      </c>
      <c r="T30" s="50" t="s">
        <v>6</v>
      </c>
    </row>
    <row r="31" spans="1:20" s="45" customFormat="1" ht="178.5" customHeight="1">
      <c r="A31" s="51" t="s">
        <v>1503</v>
      </c>
      <c r="B31" s="56">
        <v>3</v>
      </c>
      <c r="C31" s="56">
        <v>2</v>
      </c>
      <c r="D31" s="57">
        <v>12</v>
      </c>
      <c r="E31" s="29" t="s">
        <v>1600</v>
      </c>
      <c r="F31" s="26" t="s">
        <v>19</v>
      </c>
      <c r="G31" s="29" t="s">
        <v>1601</v>
      </c>
      <c r="H31" s="34" t="s">
        <v>1578</v>
      </c>
      <c r="I31" s="29" t="s">
        <v>1595</v>
      </c>
      <c r="J31" s="26" t="s">
        <v>19</v>
      </c>
      <c r="K31" s="29" t="s">
        <v>1602</v>
      </c>
      <c r="L31" s="26" t="s">
        <v>19</v>
      </c>
      <c r="M31" s="29" t="s">
        <v>1603</v>
      </c>
      <c r="N31" s="26" t="s">
        <v>19</v>
      </c>
      <c r="O31" s="29" t="s">
        <v>1604</v>
      </c>
      <c r="P31" s="26" t="s">
        <v>19</v>
      </c>
      <c r="Q31" s="29" t="s">
        <v>1605</v>
      </c>
      <c r="R31" s="26" t="s">
        <v>19</v>
      </c>
      <c r="S31" s="29"/>
      <c r="T31" s="50"/>
    </row>
    <row r="32" spans="1:20" s="45" customFormat="1" ht="15" customHeight="1">
      <c r="A32" s="55"/>
      <c r="B32" s="55"/>
      <c r="C32" s="55"/>
      <c r="D32" s="55"/>
      <c r="E32" s="93" t="s">
        <v>73</v>
      </c>
      <c r="F32" s="94"/>
      <c r="G32" s="94"/>
      <c r="H32" s="94"/>
      <c r="I32" s="94"/>
      <c r="J32" s="94"/>
      <c r="K32" s="94"/>
      <c r="L32" s="94"/>
      <c r="M32" s="94"/>
      <c r="N32" s="94"/>
      <c r="O32" s="94"/>
      <c r="P32" s="94"/>
      <c r="Q32" s="94"/>
      <c r="R32" s="94"/>
      <c r="S32" s="94"/>
      <c r="T32" s="95"/>
    </row>
    <row r="33" spans="1:20" s="45" customFormat="1" ht="15" customHeight="1">
      <c r="A33" s="55"/>
      <c r="B33" s="55"/>
      <c r="C33" s="55"/>
      <c r="D33" s="55"/>
      <c r="E33" s="46" t="s">
        <v>5</v>
      </c>
      <c r="F33" s="30" t="s">
        <v>6</v>
      </c>
      <c r="G33" s="30" t="s">
        <v>7</v>
      </c>
      <c r="H33" s="30" t="s">
        <v>6</v>
      </c>
      <c r="I33" s="30" t="s">
        <v>8</v>
      </c>
      <c r="J33" s="30" t="s">
        <v>6</v>
      </c>
      <c r="K33" s="30" t="s">
        <v>9</v>
      </c>
      <c r="L33" s="30" t="s">
        <v>6</v>
      </c>
      <c r="M33" s="30" t="s">
        <v>10</v>
      </c>
      <c r="N33" s="30" t="s">
        <v>6</v>
      </c>
      <c r="O33" s="30" t="s">
        <v>11</v>
      </c>
      <c r="P33" s="30" t="s">
        <v>6</v>
      </c>
      <c r="Q33" s="30" t="s">
        <v>12</v>
      </c>
      <c r="R33" s="30" t="s">
        <v>6</v>
      </c>
      <c r="S33" s="30" t="s">
        <v>13</v>
      </c>
      <c r="T33" s="50" t="s">
        <v>6</v>
      </c>
    </row>
    <row r="34" spans="1:20" s="45" customFormat="1" ht="189" customHeight="1">
      <c r="A34" s="51" t="s">
        <v>1503</v>
      </c>
      <c r="B34" s="56">
        <v>3</v>
      </c>
      <c r="C34" s="56">
        <v>2</v>
      </c>
      <c r="D34" s="57">
        <v>13</v>
      </c>
      <c r="E34" s="29" t="s">
        <v>1606</v>
      </c>
      <c r="F34" s="26" t="s">
        <v>19</v>
      </c>
      <c r="G34" s="29" t="s">
        <v>86</v>
      </c>
      <c r="H34" s="26" t="s">
        <v>19</v>
      </c>
      <c r="I34" s="29" t="s">
        <v>1595</v>
      </c>
      <c r="J34" s="26" t="s">
        <v>19</v>
      </c>
      <c r="K34" s="29" t="s">
        <v>1607</v>
      </c>
      <c r="L34" s="26" t="s">
        <v>19</v>
      </c>
      <c r="M34" s="29" t="s">
        <v>1608</v>
      </c>
      <c r="N34" s="26" t="s">
        <v>19</v>
      </c>
      <c r="O34" s="29" t="s">
        <v>1609</v>
      </c>
      <c r="P34" s="26" t="s">
        <v>19</v>
      </c>
      <c r="Q34" s="29" t="s">
        <v>1610</v>
      </c>
      <c r="R34" s="26" t="s">
        <v>19</v>
      </c>
      <c r="S34" s="29"/>
      <c r="T34" s="50"/>
    </row>
    <row r="35" spans="1:20" s="45" customFormat="1" ht="15" customHeight="1">
      <c r="A35" s="55"/>
      <c r="B35" s="55"/>
      <c r="C35" s="55"/>
      <c r="D35" s="55"/>
      <c r="E35" s="93" t="s">
        <v>73</v>
      </c>
      <c r="F35" s="94"/>
      <c r="G35" s="94"/>
      <c r="H35" s="94"/>
      <c r="I35" s="94"/>
      <c r="J35" s="94"/>
      <c r="K35" s="94"/>
      <c r="L35" s="94"/>
      <c r="M35" s="94"/>
      <c r="N35" s="94"/>
      <c r="O35" s="94"/>
      <c r="P35" s="94"/>
      <c r="Q35" s="94"/>
      <c r="R35" s="94"/>
      <c r="S35" s="94"/>
      <c r="T35" s="95"/>
    </row>
    <row r="36" spans="1:20" s="45" customFormat="1" ht="15" customHeight="1">
      <c r="A36" s="55"/>
      <c r="B36" s="55"/>
      <c r="C36" s="55"/>
      <c r="D36" s="55"/>
      <c r="E36" s="46" t="s">
        <v>5</v>
      </c>
      <c r="F36" s="30" t="s">
        <v>6</v>
      </c>
      <c r="G36" s="30" t="s">
        <v>7</v>
      </c>
      <c r="H36" s="30" t="s">
        <v>6</v>
      </c>
      <c r="I36" s="30" t="s">
        <v>8</v>
      </c>
      <c r="J36" s="30" t="s">
        <v>6</v>
      </c>
      <c r="K36" s="30" t="s">
        <v>9</v>
      </c>
      <c r="L36" s="30" t="s">
        <v>6</v>
      </c>
      <c r="M36" s="30" t="s">
        <v>10</v>
      </c>
      <c r="N36" s="30" t="s">
        <v>6</v>
      </c>
      <c r="O36" s="30" t="s">
        <v>11</v>
      </c>
      <c r="P36" s="30" t="s">
        <v>6</v>
      </c>
      <c r="Q36" s="30" t="s">
        <v>12</v>
      </c>
      <c r="R36" s="30" t="s">
        <v>6</v>
      </c>
      <c r="S36" s="30" t="s">
        <v>13</v>
      </c>
      <c r="T36" s="50" t="s">
        <v>6</v>
      </c>
    </row>
    <row r="37" spans="1:20" s="45" customFormat="1" ht="183" customHeight="1">
      <c r="A37" s="51" t="s">
        <v>1503</v>
      </c>
      <c r="B37" s="56">
        <v>3</v>
      </c>
      <c r="C37" s="56">
        <v>2</v>
      </c>
      <c r="D37" s="57">
        <v>14</v>
      </c>
      <c r="E37" s="29" t="s">
        <v>1611</v>
      </c>
      <c r="F37" s="36" t="s">
        <v>1612</v>
      </c>
      <c r="G37" s="29" t="s">
        <v>1613</v>
      </c>
      <c r="H37" s="34" t="s">
        <v>1578</v>
      </c>
      <c r="I37" s="29" t="s">
        <v>1595</v>
      </c>
      <c r="J37" s="26" t="s">
        <v>19</v>
      </c>
      <c r="K37" s="29" t="s">
        <v>1614</v>
      </c>
      <c r="L37" s="26" t="s">
        <v>19</v>
      </c>
      <c r="M37" s="29" t="s">
        <v>1615</v>
      </c>
      <c r="N37" s="26" t="s">
        <v>19</v>
      </c>
      <c r="O37" s="29" t="s">
        <v>1616</v>
      </c>
      <c r="P37" s="26" t="s">
        <v>19</v>
      </c>
      <c r="Q37" s="29" t="s">
        <v>1617</v>
      </c>
      <c r="R37" s="34" t="s">
        <v>1618</v>
      </c>
      <c r="S37" s="29"/>
      <c r="T37" s="50"/>
    </row>
    <row r="38" spans="1:20" s="45" customFormat="1" ht="15" customHeight="1">
      <c r="A38" s="55"/>
      <c r="B38" s="55"/>
      <c r="C38" s="55"/>
      <c r="D38" s="55"/>
      <c r="E38" s="93" t="s">
        <v>120</v>
      </c>
      <c r="F38" s="94"/>
      <c r="G38" s="94"/>
      <c r="H38" s="94"/>
      <c r="I38" s="94"/>
      <c r="J38" s="94"/>
      <c r="K38" s="94"/>
      <c r="L38" s="94"/>
      <c r="M38" s="94"/>
      <c r="N38" s="94"/>
      <c r="O38" s="94"/>
      <c r="P38" s="94"/>
      <c r="Q38" s="94"/>
      <c r="R38" s="94"/>
      <c r="S38" s="94"/>
      <c r="T38" s="95"/>
    </row>
    <row r="39" spans="1:20" s="45" customFormat="1" ht="15" customHeight="1">
      <c r="A39" s="55"/>
      <c r="B39" s="55"/>
      <c r="C39" s="55"/>
      <c r="D39" s="55"/>
      <c r="E39" s="46" t="s">
        <v>5</v>
      </c>
      <c r="F39" s="30" t="s">
        <v>6</v>
      </c>
      <c r="G39" s="30" t="s">
        <v>7</v>
      </c>
      <c r="H39" s="30" t="s">
        <v>6</v>
      </c>
      <c r="I39" s="30" t="s">
        <v>8</v>
      </c>
      <c r="J39" s="30" t="s">
        <v>6</v>
      </c>
      <c r="K39" s="30" t="s">
        <v>9</v>
      </c>
      <c r="L39" s="30" t="s">
        <v>6</v>
      </c>
      <c r="M39" s="30" t="s">
        <v>10</v>
      </c>
      <c r="N39" s="30" t="s">
        <v>6</v>
      </c>
      <c r="O39" s="30" t="s">
        <v>11</v>
      </c>
      <c r="P39" s="30" t="s">
        <v>6</v>
      </c>
      <c r="Q39" s="30" t="s">
        <v>12</v>
      </c>
      <c r="R39" s="30" t="s">
        <v>6</v>
      </c>
      <c r="S39" s="30" t="s">
        <v>13</v>
      </c>
      <c r="T39" s="50" t="s">
        <v>6</v>
      </c>
    </row>
    <row r="40" spans="1:20" s="45" customFormat="1" ht="163.5" customHeight="1">
      <c r="A40" s="51" t="s">
        <v>1503</v>
      </c>
      <c r="B40" s="56">
        <v>3</v>
      </c>
      <c r="C40" s="56">
        <v>3</v>
      </c>
      <c r="D40" s="57">
        <v>1</v>
      </c>
      <c r="E40" s="29" t="s">
        <v>1619</v>
      </c>
      <c r="F40" s="26"/>
      <c r="G40" s="29" t="s">
        <v>1620</v>
      </c>
      <c r="H40" s="36" t="s">
        <v>1621</v>
      </c>
      <c r="I40" s="29" t="s">
        <v>1622</v>
      </c>
      <c r="J40" s="34"/>
      <c r="K40" s="29" t="s">
        <v>1623</v>
      </c>
      <c r="L40" s="26"/>
      <c r="M40" s="29" t="s">
        <v>1624</v>
      </c>
      <c r="N40" s="26"/>
      <c r="O40" s="29" t="s">
        <v>1625</v>
      </c>
      <c r="P40" s="26"/>
      <c r="Q40" s="29" t="s">
        <v>1626</v>
      </c>
      <c r="R40" s="36" t="s">
        <v>1627</v>
      </c>
      <c r="S40" s="29"/>
      <c r="T40" s="50"/>
    </row>
    <row r="41" spans="1:20" s="45" customFormat="1" ht="15" customHeight="1">
      <c r="A41" s="55"/>
      <c r="B41" s="55"/>
      <c r="C41" s="55"/>
      <c r="D41" s="55"/>
      <c r="E41" s="93" t="s">
        <v>120</v>
      </c>
      <c r="F41" s="94"/>
      <c r="G41" s="94"/>
      <c r="H41" s="94"/>
      <c r="I41" s="94"/>
      <c r="J41" s="94"/>
      <c r="K41" s="94"/>
      <c r="L41" s="94"/>
      <c r="M41" s="94"/>
      <c r="N41" s="94"/>
      <c r="O41" s="94"/>
      <c r="P41" s="94"/>
      <c r="Q41" s="94"/>
      <c r="R41" s="94"/>
      <c r="S41" s="94"/>
      <c r="T41" s="95"/>
    </row>
    <row r="42" spans="1:20" s="45" customFormat="1" ht="15" customHeight="1">
      <c r="A42" s="55"/>
      <c r="B42" s="55"/>
      <c r="C42" s="55"/>
      <c r="D42" s="55"/>
      <c r="E42" s="46" t="s">
        <v>5</v>
      </c>
      <c r="F42" s="30" t="s">
        <v>6</v>
      </c>
      <c r="G42" s="30" t="s">
        <v>7</v>
      </c>
      <c r="H42" s="30" t="s">
        <v>6</v>
      </c>
      <c r="I42" s="30" t="s">
        <v>8</v>
      </c>
      <c r="J42" s="30" t="s">
        <v>6</v>
      </c>
      <c r="K42" s="30" t="s">
        <v>9</v>
      </c>
      <c r="L42" s="30" t="s">
        <v>6</v>
      </c>
      <c r="M42" s="30" t="s">
        <v>10</v>
      </c>
      <c r="N42" s="30" t="s">
        <v>6</v>
      </c>
      <c r="O42" s="30" t="s">
        <v>11</v>
      </c>
      <c r="P42" s="30" t="s">
        <v>6</v>
      </c>
      <c r="Q42" s="30" t="s">
        <v>12</v>
      </c>
      <c r="R42" s="30" t="s">
        <v>6</v>
      </c>
      <c r="S42" s="30" t="s">
        <v>13</v>
      </c>
      <c r="T42" s="50" t="s">
        <v>6</v>
      </c>
    </row>
    <row r="43" spans="1:20" s="45" customFormat="1" ht="184.9">
      <c r="A43" s="51" t="s">
        <v>1503</v>
      </c>
      <c r="B43" s="56">
        <v>3</v>
      </c>
      <c r="C43" s="56">
        <v>3</v>
      </c>
      <c r="D43" s="57">
        <v>15</v>
      </c>
      <c r="E43" s="29" t="s">
        <v>1628</v>
      </c>
      <c r="F43" s="36" t="s">
        <v>1629</v>
      </c>
      <c r="G43" s="29" t="s">
        <v>1630</v>
      </c>
      <c r="H43" s="36" t="s">
        <v>1621</v>
      </c>
      <c r="I43" s="29" t="s">
        <v>1631</v>
      </c>
      <c r="J43" s="34"/>
      <c r="K43" s="29" t="s">
        <v>1632</v>
      </c>
      <c r="L43" s="26"/>
      <c r="M43" s="29" t="s">
        <v>1633</v>
      </c>
      <c r="N43" s="26"/>
      <c r="O43" s="29" t="s">
        <v>1634</v>
      </c>
      <c r="P43" s="26"/>
      <c r="Q43" s="29" t="s">
        <v>1635</v>
      </c>
      <c r="R43" s="36" t="s">
        <v>1627</v>
      </c>
      <c r="S43" s="29" t="s">
        <v>1636</v>
      </c>
      <c r="T43" s="50"/>
    </row>
    <row r="44" spans="1:20" s="45" customFormat="1" ht="15" customHeight="1">
      <c r="A44" s="55"/>
      <c r="B44" s="55"/>
      <c r="C44" s="55"/>
      <c r="D44" s="55"/>
      <c r="E44" s="93" t="s">
        <v>120</v>
      </c>
      <c r="F44" s="94"/>
      <c r="G44" s="94"/>
      <c r="H44" s="94"/>
      <c r="I44" s="94"/>
      <c r="J44" s="94"/>
      <c r="K44" s="94"/>
      <c r="L44" s="94"/>
      <c r="M44" s="94"/>
      <c r="N44" s="94"/>
      <c r="O44" s="94"/>
      <c r="P44" s="94"/>
      <c r="Q44" s="94"/>
      <c r="R44" s="94"/>
      <c r="S44" s="94"/>
      <c r="T44" s="95"/>
    </row>
    <row r="45" spans="1:20" s="45" customFormat="1" ht="15" customHeight="1">
      <c r="A45" s="55"/>
      <c r="B45" s="55"/>
      <c r="C45" s="55"/>
      <c r="D45" s="55"/>
      <c r="E45" s="46" t="s">
        <v>5</v>
      </c>
      <c r="F45" s="30" t="s">
        <v>6</v>
      </c>
      <c r="G45" s="30" t="s">
        <v>7</v>
      </c>
      <c r="H45" s="30" t="s">
        <v>6</v>
      </c>
      <c r="I45" s="30" t="s">
        <v>8</v>
      </c>
      <c r="J45" s="30" t="s">
        <v>6</v>
      </c>
      <c r="K45" s="30" t="s">
        <v>9</v>
      </c>
      <c r="L45" s="30" t="s">
        <v>6</v>
      </c>
      <c r="M45" s="30" t="s">
        <v>10</v>
      </c>
      <c r="N45" s="30" t="s">
        <v>6</v>
      </c>
      <c r="O45" s="30" t="s">
        <v>11</v>
      </c>
      <c r="P45" s="30" t="s">
        <v>6</v>
      </c>
      <c r="Q45" s="30" t="s">
        <v>12</v>
      </c>
      <c r="R45" s="30" t="s">
        <v>6</v>
      </c>
      <c r="S45" s="30" t="s">
        <v>13</v>
      </c>
      <c r="T45" s="50" t="s">
        <v>6</v>
      </c>
    </row>
    <row r="46" spans="1:20" s="45" customFormat="1" ht="158.44999999999999">
      <c r="A46" s="51" t="s">
        <v>1503</v>
      </c>
      <c r="B46" s="56">
        <v>3</v>
      </c>
      <c r="C46" s="56">
        <v>3</v>
      </c>
      <c r="D46" s="57">
        <v>16</v>
      </c>
      <c r="E46" s="29" t="s">
        <v>1637</v>
      </c>
      <c r="F46" s="36" t="s">
        <v>1629</v>
      </c>
      <c r="G46" s="29" t="s">
        <v>1638</v>
      </c>
      <c r="H46" s="36" t="s">
        <v>1621</v>
      </c>
      <c r="I46" s="29" t="s">
        <v>1639</v>
      </c>
      <c r="J46" s="34"/>
      <c r="K46" s="29" t="s">
        <v>1640</v>
      </c>
      <c r="L46" s="26"/>
      <c r="M46" s="29" t="s">
        <v>1641</v>
      </c>
      <c r="N46" s="26"/>
      <c r="O46" s="29" t="s">
        <v>1642</v>
      </c>
      <c r="P46" s="26"/>
      <c r="Q46" s="29" t="s">
        <v>1643</v>
      </c>
      <c r="R46" s="36" t="s">
        <v>1627</v>
      </c>
      <c r="S46" s="29" t="s">
        <v>1644</v>
      </c>
      <c r="T46" s="50"/>
    </row>
    <row r="47" spans="1:20" s="45" customFormat="1" ht="15" customHeight="1">
      <c r="A47" s="55"/>
      <c r="B47" s="55"/>
      <c r="C47" s="55"/>
      <c r="D47" s="55"/>
      <c r="E47" s="93" t="s">
        <v>120</v>
      </c>
      <c r="F47" s="94"/>
      <c r="G47" s="94"/>
      <c r="H47" s="94"/>
      <c r="I47" s="94"/>
      <c r="J47" s="94"/>
      <c r="K47" s="94"/>
      <c r="L47" s="94"/>
      <c r="M47" s="94"/>
      <c r="N47" s="94"/>
      <c r="O47" s="94"/>
      <c r="P47" s="94"/>
      <c r="Q47" s="94"/>
      <c r="R47" s="94"/>
      <c r="S47" s="94"/>
      <c r="T47" s="95"/>
    </row>
    <row r="48" spans="1:20" s="45" customFormat="1" ht="15" customHeight="1">
      <c r="A48" s="55"/>
      <c r="B48" s="55"/>
      <c r="C48" s="55"/>
      <c r="D48" s="55"/>
      <c r="E48" s="46" t="s">
        <v>5</v>
      </c>
      <c r="F48" s="30" t="s">
        <v>6</v>
      </c>
      <c r="G48" s="30" t="s">
        <v>7</v>
      </c>
      <c r="H48" s="30" t="s">
        <v>6</v>
      </c>
      <c r="I48" s="30" t="s">
        <v>8</v>
      </c>
      <c r="J48" s="30" t="s">
        <v>6</v>
      </c>
      <c r="K48" s="30" t="s">
        <v>9</v>
      </c>
      <c r="L48" s="30" t="s">
        <v>6</v>
      </c>
      <c r="M48" s="30" t="s">
        <v>10</v>
      </c>
      <c r="N48" s="30" t="s">
        <v>6</v>
      </c>
      <c r="O48" s="30" t="s">
        <v>11</v>
      </c>
      <c r="P48" s="30" t="s">
        <v>6</v>
      </c>
      <c r="Q48" s="30" t="s">
        <v>12</v>
      </c>
      <c r="R48" s="30" t="s">
        <v>6</v>
      </c>
      <c r="S48" s="30" t="s">
        <v>13</v>
      </c>
      <c r="T48" s="50" t="s">
        <v>6</v>
      </c>
    </row>
    <row r="49" spans="1:20" s="45" customFormat="1" ht="211.15">
      <c r="A49" s="51" t="s">
        <v>1503</v>
      </c>
      <c r="B49" s="56">
        <v>3</v>
      </c>
      <c r="C49" s="56">
        <v>3</v>
      </c>
      <c r="D49" s="57">
        <v>17</v>
      </c>
      <c r="E49" s="29" t="s">
        <v>1645</v>
      </c>
      <c r="F49" s="36" t="s">
        <v>1646</v>
      </c>
      <c r="G49" s="29" t="s">
        <v>1647</v>
      </c>
      <c r="H49" s="36" t="s">
        <v>1621</v>
      </c>
      <c r="I49" s="29" t="s">
        <v>1648</v>
      </c>
      <c r="J49" s="34"/>
      <c r="K49" s="29" t="s">
        <v>1649</v>
      </c>
      <c r="L49" s="26"/>
      <c r="M49" s="29" t="s">
        <v>1650</v>
      </c>
      <c r="N49" s="26"/>
      <c r="O49" s="29" t="s">
        <v>1651</v>
      </c>
      <c r="P49" s="26"/>
      <c r="Q49" s="29" t="s">
        <v>1652</v>
      </c>
      <c r="R49" s="36" t="s">
        <v>1627</v>
      </c>
      <c r="S49" s="29" t="s">
        <v>1653</v>
      </c>
      <c r="T49" s="50"/>
    </row>
    <row r="50" spans="1:20" s="45" customFormat="1" ht="15" customHeight="1">
      <c r="A50" s="55"/>
      <c r="B50" s="55"/>
      <c r="C50" s="55"/>
      <c r="D50" s="55"/>
      <c r="E50" s="93" t="s">
        <v>120</v>
      </c>
      <c r="F50" s="94"/>
      <c r="G50" s="94"/>
      <c r="H50" s="94"/>
      <c r="I50" s="94"/>
      <c r="J50" s="94"/>
      <c r="K50" s="94"/>
      <c r="L50" s="94"/>
      <c r="M50" s="94"/>
      <c r="N50" s="94"/>
      <c r="O50" s="94"/>
      <c r="P50" s="94"/>
      <c r="Q50" s="94"/>
      <c r="R50" s="94"/>
      <c r="S50" s="94"/>
      <c r="T50" s="95"/>
    </row>
    <row r="51" spans="1:20" s="45" customFormat="1" ht="15" customHeight="1">
      <c r="A51" s="55"/>
      <c r="B51" s="55"/>
      <c r="C51" s="55"/>
      <c r="D51" s="55"/>
      <c r="E51" s="46" t="s">
        <v>5</v>
      </c>
      <c r="F51" s="30" t="s">
        <v>6</v>
      </c>
      <c r="G51" s="30" t="s">
        <v>7</v>
      </c>
      <c r="H51" s="30" t="s">
        <v>6</v>
      </c>
      <c r="I51" s="30" t="s">
        <v>8</v>
      </c>
      <c r="J51" s="30" t="s">
        <v>6</v>
      </c>
      <c r="K51" s="30" t="s">
        <v>9</v>
      </c>
      <c r="L51" s="30" t="s">
        <v>6</v>
      </c>
      <c r="M51" s="30" t="s">
        <v>10</v>
      </c>
      <c r="N51" s="30" t="s">
        <v>6</v>
      </c>
      <c r="O51" s="30" t="s">
        <v>11</v>
      </c>
      <c r="P51" s="30" t="s">
        <v>6</v>
      </c>
      <c r="Q51" s="30" t="s">
        <v>12</v>
      </c>
      <c r="R51" s="30" t="s">
        <v>6</v>
      </c>
      <c r="S51" s="30" t="s">
        <v>13</v>
      </c>
      <c r="T51" s="50" t="s">
        <v>6</v>
      </c>
    </row>
    <row r="52" spans="1:20" s="45" customFormat="1" ht="174">
      <c r="A52" s="51" t="s">
        <v>1503</v>
      </c>
      <c r="B52" s="56">
        <v>3</v>
      </c>
      <c r="C52" s="56">
        <v>3</v>
      </c>
      <c r="D52" s="57">
        <v>18</v>
      </c>
      <c r="E52" s="29" t="s">
        <v>1654</v>
      </c>
      <c r="F52" s="36" t="s">
        <v>1655</v>
      </c>
      <c r="G52" s="29" t="s">
        <v>1656</v>
      </c>
      <c r="H52" s="36" t="s">
        <v>1621</v>
      </c>
      <c r="I52" s="29" t="s">
        <v>1657</v>
      </c>
      <c r="J52" s="34"/>
      <c r="K52" s="29" t="s">
        <v>1658</v>
      </c>
      <c r="L52" s="36"/>
      <c r="M52" s="29" t="s">
        <v>1659</v>
      </c>
      <c r="N52" s="26"/>
      <c r="O52" s="29" t="s">
        <v>1660</v>
      </c>
      <c r="P52" s="26"/>
      <c r="Q52" s="29" t="s">
        <v>1661</v>
      </c>
      <c r="R52" s="36" t="s">
        <v>1627</v>
      </c>
      <c r="S52" s="29" t="s">
        <v>1662</v>
      </c>
      <c r="T52" s="50"/>
    </row>
    <row r="53" spans="1:20" s="45" customFormat="1" ht="15" customHeight="1">
      <c r="A53" s="55"/>
      <c r="B53" s="55"/>
      <c r="C53" s="55"/>
      <c r="D53" s="55"/>
      <c r="E53" s="93" t="s">
        <v>120</v>
      </c>
      <c r="F53" s="94"/>
      <c r="G53" s="94"/>
      <c r="H53" s="94"/>
      <c r="I53" s="94"/>
      <c r="J53" s="94"/>
      <c r="K53" s="94"/>
      <c r="L53" s="94"/>
      <c r="M53" s="94"/>
      <c r="N53" s="94"/>
      <c r="O53" s="94"/>
      <c r="P53" s="94"/>
      <c r="Q53" s="94"/>
      <c r="R53" s="94"/>
      <c r="S53" s="94"/>
      <c r="T53" s="95"/>
    </row>
    <row r="54" spans="1:20" s="45" customFormat="1" ht="15" customHeight="1">
      <c r="A54" s="55"/>
      <c r="B54" s="55"/>
      <c r="C54" s="55"/>
      <c r="D54" s="55"/>
      <c r="E54" s="46" t="s">
        <v>5</v>
      </c>
      <c r="F54" s="30" t="s">
        <v>6</v>
      </c>
      <c r="G54" s="30" t="s">
        <v>7</v>
      </c>
      <c r="H54" s="30" t="s">
        <v>6</v>
      </c>
      <c r="I54" s="30" t="s">
        <v>8</v>
      </c>
      <c r="J54" s="30" t="s">
        <v>6</v>
      </c>
      <c r="K54" s="30" t="s">
        <v>9</v>
      </c>
      <c r="L54" s="30" t="s">
        <v>6</v>
      </c>
      <c r="M54" s="30" t="s">
        <v>10</v>
      </c>
      <c r="N54" s="30" t="s">
        <v>6</v>
      </c>
      <c r="O54" s="30" t="s">
        <v>11</v>
      </c>
      <c r="P54" s="30" t="s">
        <v>6</v>
      </c>
      <c r="Q54" s="30" t="s">
        <v>12</v>
      </c>
      <c r="R54" s="30" t="s">
        <v>6</v>
      </c>
      <c r="S54" s="30" t="s">
        <v>13</v>
      </c>
      <c r="T54" s="50" t="s">
        <v>6</v>
      </c>
    </row>
    <row r="55" spans="1:20" s="45" customFormat="1" ht="207.75">
      <c r="A55" s="51" t="s">
        <v>1503</v>
      </c>
      <c r="B55" s="56">
        <v>3</v>
      </c>
      <c r="C55" s="56">
        <v>3</v>
      </c>
      <c r="D55" s="57">
        <v>19</v>
      </c>
      <c r="E55" s="29" t="s">
        <v>1663</v>
      </c>
      <c r="F55" s="36" t="s">
        <v>1629</v>
      </c>
      <c r="G55" s="29" t="s">
        <v>1664</v>
      </c>
      <c r="H55" s="36" t="s">
        <v>1621</v>
      </c>
      <c r="I55" s="29" t="s">
        <v>1665</v>
      </c>
      <c r="J55" s="34"/>
      <c r="K55" s="29" t="s">
        <v>1666</v>
      </c>
      <c r="L55" s="36"/>
      <c r="M55" s="29" t="s">
        <v>1667</v>
      </c>
      <c r="N55" s="26"/>
      <c r="O55" s="29" t="s">
        <v>1668</v>
      </c>
      <c r="P55" s="26"/>
      <c r="Q55" s="29" t="s">
        <v>1669</v>
      </c>
      <c r="R55" s="36" t="s">
        <v>1627</v>
      </c>
      <c r="S55" s="29" t="s">
        <v>1670</v>
      </c>
      <c r="T55" s="50"/>
    </row>
    <row r="56" spans="1:20" s="45" customFormat="1" ht="15" customHeight="1">
      <c r="A56" s="55"/>
      <c r="B56" s="55"/>
      <c r="C56" s="55"/>
      <c r="D56" s="55"/>
      <c r="E56" s="93" t="s">
        <v>164</v>
      </c>
      <c r="F56" s="94"/>
      <c r="G56" s="94"/>
      <c r="H56" s="94"/>
      <c r="I56" s="94"/>
      <c r="J56" s="94"/>
      <c r="K56" s="94"/>
      <c r="L56" s="94"/>
      <c r="M56" s="94"/>
      <c r="N56" s="94"/>
      <c r="O56" s="94"/>
      <c r="P56" s="94"/>
      <c r="Q56" s="94"/>
      <c r="R56" s="94"/>
      <c r="S56" s="94"/>
      <c r="T56" s="95"/>
    </row>
    <row r="57" spans="1:20" s="45" customFormat="1" ht="15" customHeight="1">
      <c r="A57" s="55"/>
      <c r="B57" s="55"/>
      <c r="C57" s="55"/>
      <c r="D57" s="55"/>
      <c r="E57" s="46" t="s">
        <v>5</v>
      </c>
      <c r="F57" s="30" t="s">
        <v>6</v>
      </c>
      <c r="G57" s="30" t="s">
        <v>7</v>
      </c>
      <c r="H57" s="30" t="s">
        <v>6</v>
      </c>
      <c r="I57" s="30" t="s">
        <v>8</v>
      </c>
      <c r="J57" s="30" t="s">
        <v>6</v>
      </c>
      <c r="K57" s="30" t="s">
        <v>9</v>
      </c>
      <c r="L57" s="30" t="s">
        <v>6</v>
      </c>
      <c r="M57" s="30" t="s">
        <v>10</v>
      </c>
      <c r="N57" s="30" t="s">
        <v>6</v>
      </c>
      <c r="O57" s="30" t="s">
        <v>11</v>
      </c>
      <c r="P57" s="30" t="s">
        <v>6</v>
      </c>
      <c r="Q57" s="30" t="s">
        <v>12</v>
      </c>
      <c r="R57" s="30" t="s">
        <v>6</v>
      </c>
      <c r="S57" s="30" t="s">
        <v>13</v>
      </c>
      <c r="T57" s="50" t="s">
        <v>6</v>
      </c>
    </row>
    <row r="58" spans="1:20" s="45" customFormat="1" ht="198">
      <c r="A58" s="51" t="s">
        <v>1503</v>
      </c>
      <c r="B58" s="56">
        <v>3</v>
      </c>
      <c r="C58" s="56">
        <v>4</v>
      </c>
      <c r="D58" s="57">
        <v>2</v>
      </c>
      <c r="E58" s="29" t="s">
        <v>1671</v>
      </c>
      <c r="F58" s="26" t="s">
        <v>19</v>
      </c>
      <c r="G58" s="29" t="s">
        <v>1672</v>
      </c>
      <c r="H58" s="26" t="s">
        <v>19</v>
      </c>
      <c r="I58" s="29" t="s">
        <v>1673</v>
      </c>
      <c r="J58" s="26" t="s">
        <v>19</v>
      </c>
      <c r="K58" s="29" t="s">
        <v>1674</v>
      </c>
      <c r="L58" s="26" t="s">
        <v>19</v>
      </c>
      <c r="M58" s="29" t="s">
        <v>1675</v>
      </c>
      <c r="N58" s="36" t="s">
        <v>1676</v>
      </c>
      <c r="O58" s="29" t="s">
        <v>1677</v>
      </c>
      <c r="P58" s="36" t="s">
        <v>1678</v>
      </c>
      <c r="Q58" s="29" t="s">
        <v>1679</v>
      </c>
      <c r="R58" s="34" t="s">
        <v>1680</v>
      </c>
      <c r="S58" s="29" t="s">
        <v>1681</v>
      </c>
      <c r="T58" s="50"/>
    </row>
    <row r="59" spans="1:20" s="45" customFormat="1">
      <c r="A59" s="55"/>
      <c r="B59" s="55"/>
      <c r="C59" s="55"/>
      <c r="D59" s="55"/>
      <c r="E59" s="93" t="s">
        <v>164</v>
      </c>
      <c r="F59" s="94"/>
      <c r="G59" s="94"/>
      <c r="H59" s="94"/>
      <c r="I59" s="94"/>
      <c r="J59" s="94"/>
      <c r="K59" s="94"/>
      <c r="L59" s="94"/>
      <c r="M59" s="94"/>
      <c r="N59" s="94"/>
      <c r="O59" s="94"/>
      <c r="P59" s="94"/>
      <c r="Q59" s="94"/>
      <c r="R59" s="94"/>
      <c r="S59" s="94"/>
      <c r="T59" s="95"/>
    </row>
    <row r="60" spans="1:20" s="45" customFormat="1">
      <c r="A60" s="55"/>
      <c r="B60" s="55"/>
      <c r="C60" s="55"/>
      <c r="D60" s="55"/>
      <c r="E60" s="46" t="s">
        <v>5</v>
      </c>
      <c r="F60" s="30" t="s">
        <v>6</v>
      </c>
      <c r="G60" s="30" t="s">
        <v>7</v>
      </c>
      <c r="H60" s="30" t="s">
        <v>6</v>
      </c>
      <c r="I60" s="30" t="s">
        <v>8</v>
      </c>
      <c r="J60" s="30" t="s">
        <v>6</v>
      </c>
      <c r="K60" s="30" t="s">
        <v>9</v>
      </c>
      <c r="L60" s="30" t="s">
        <v>6</v>
      </c>
      <c r="M60" s="30" t="s">
        <v>10</v>
      </c>
      <c r="N60" s="30" t="s">
        <v>6</v>
      </c>
      <c r="O60" s="30" t="s">
        <v>11</v>
      </c>
      <c r="P60" s="30" t="s">
        <v>6</v>
      </c>
      <c r="Q60" s="30" t="s">
        <v>12</v>
      </c>
      <c r="R60" s="30" t="s">
        <v>6</v>
      </c>
      <c r="S60" s="30" t="s">
        <v>13</v>
      </c>
      <c r="T60" s="50" t="s">
        <v>6</v>
      </c>
    </row>
    <row r="61" spans="1:20" s="45" customFormat="1" ht="184.9">
      <c r="A61" s="51" t="s">
        <v>1503</v>
      </c>
      <c r="B61" s="56">
        <v>3</v>
      </c>
      <c r="C61" s="56">
        <v>4</v>
      </c>
      <c r="D61" s="57">
        <v>5</v>
      </c>
      <c r="E61" s="29" t="s">
        <v>1682</v>
      </c>
      <c r="F61" s="26" t="s">
        <v>19</v>
      </c>
      <c r="G61" s="29" t="s">
        <v>1683</v>
      </c>
      <c r="H61" s="26" t="s">
        <v>19</v>
      </c>
      <c r="I61" s="29" t="s">
        <v>1684</v>
      </c>
      <c r="J61" s="26" t="s">
        <v>19</v>
      </c>
      <c r="K61" s="29" t="s">
        <v>1685</v>
      </c>
      <c r="L61" s="26" t="s">
        <v>19</v>
      </c>
      <c r="M61" s="29" t="s">
        <v>1686</v>
      </c>
      <c r="N61" s="36" t="s">
        <v>1687</v>
      </c>
      <c r="O61" s="29" t="s">
        <v>1688</v>
      </c>
      <c r="P61" s="36" t="s">
        <v>1689</v>
      </c>
      <c r="Q61" s="29" t="s">
        <v>1690</v>
      </c>
      <c r="R61" s="35" t="s">
        <v>1691</v>
      </c>
      <c r="S61" s="29"/>
      <c r="T61" s="50"/>
    </row>
    <row r="62" spans="1:20" s="45" customFormat="1" ht="15" customHeight="1">
      <c r="A62" s="55"/>
      <c r="B62" s="55"/>
      <c r="C62" s="55"/>
      <c r="D62" s="55"/>
      <c r="E62" s="93" t="s">
        <v>164</v>
      </c>
      <c r="F62" s="94"/>
      <c r="G62" s="94"/>
      <c r="H62" s="94"/>
      <c r="I62" s="94"/>
      <c r="J62" s="94"/>
      <c r="K62" s="94"/>
      <c r="L62" s="94"/>
      <c r="M62" s="94"/>
      <c r="N62" s="94"/>
      <c r="O62" s="94"/>
      <c r="P62" s="94"/>
      <c r="Q62" s="94"/>
      <c r="R62" s="94"/>
      <c r="S62" s="94"/>
      <c r="T62" s="95"/>
    </row>
    <row r="63" spans="1:20" s="45" customFormat="1" ht="15" customHeight="1">
      <c r="A63" s="55"/>
      <c r="B63" s="55"/>
      <c r="C63" s="55"/>
      <c r="D63" s="55"/>
      <c r="E63" s="46" t="s">
        <v>5</v>
      </c>
      <c r="F63" s="30" t="s">
        <v>6</v>
      </c>
      <c r="G63" s="30" t="s">
        <v>7</v>
      </c>
      <c r="H63" s="30" t="s">
        <v>6</v>
      </c>
      <c r="I63" s="30" t="s">
        <v>8</v>
      </c>
      <c r="J63" s="30" t="s">
        <v>6</v>
      </c>
      <c r="K63" s="30" t="s">
        <v>9</v>
      </c>
      <c r="L63" s="30" t="s">
        <v>6</v>
      </c>
      <c r="M63" s="30" t="s">
        <v>10</v>
      </c>
      <c r="N63" s="30" t="s">
        <v>6</v>
      </c>
      <c r="O63" s="30" t="s">
        <v>11</v>
      </c>
      <c r="P63" s="30" t="s">
        <v>6</v>
      </c>
      <c r="Q63" s="30" t="s">
        <v>12</v>
      </c>
      <c r="R63" s="30" t="s">
        <v>6</v>
      </c>
      <c r="S63" s="30" t="s">
        <v>13</v>
      </c>
      <c r="T63" s="50" t="s">
        <v>6</v>
      </c>
    </row>
    <row r="64" spans="1:20" s="45" customFormat="1" ht="224.45">
      <c r="A64" s="51" t="s">
        <v>1503</v>
      </c>
      <c r="B64" s="56">
        <v>3</v>
      </c>
      <c r="C64" s="56">
        <v>4</v>
      </c>
      <c r="D64" s="57">
        <v>10</v>
      </c>
      <c r="E64" s="29" t="s">
        <v>1692</v>
      </c>
      <c r="F64" s="26" t="s">
        <v>19</v>
      </c>
      <c r="G64" s="29" t="s">
        <v>1693</v>
      </c>
      <c r="H64" s="26" t="s">
        <v>19</v>
      </c>
      <c r="I64" s="29" t="s">
        <v>1694</v>
      </c>
      <c r="J64" s="26" t="s">
        <v>19</v>
      </c>
      <c r="K64" s="29" t="s">
        <v>1695</v>
      </c>
      <c r="L64" s="26" t="s">
        <v>19</v>
      </c>
      <c r="M64" s="29" t="s">
        <v>1696</v>
      </c>
      <c r="N64" s="36" t="s">
        <v>1697</v>
      </c>
      <c r="O64" s="29" t="s">
        <v>1698</v>
      </c>
      <c r="P64" s="36" t="s">
        <v>1699</v>
      </c>
      <c r="Q64" s="29" t="s">
        <v>1700</v>
      </c>
      <c r="R64" s="35" t="s">
        <v>1701</v>
      </c>
      <c r="S64" s="29" t="s">
        <v>1702</v>
      </c>
      <c r="T64" s="50"/>
    </row>
    <row r="65" spans="1:43" s="45" customFormat="1" ht="15" customHeight="1">
      <c r="A65" s="55"/>
      <c r="B65" s="55"/>
      <c r="C65" s="55"/>
      <c r="D65" s="55"/>
      <c r="E65" s="93" t="s">
        <v>164</v>
      </c>
      <c r="F65" s="94"/>
      <c r="G65" s="94"/>
      <c r="H65" s="94"/>
      <c r="I65" s="94"/>
      <c r="J65" s="94"/>
      <c r="K65" s="94"/>
      <c r="L65" s="94"/>
      <c r="M65" s="94"/>
      <c r="N65" s="94"/>
      <c r="O65" s="94"/>
      <c r="P65" s="94"/>
      <c r="Q65" s="94"/>
      <c r="R65" s="94"/>
      <c r="S65" s="94"/>
      <c r="T65" s="95"/>
    </row>
    <row r="66" spans="1:43" s="45" customFormat="1" ht="15" customHeight="1">
      <c r="A66" s="55"/>
      <c r="B66" s="55"/>
      <c r="C66" s="55"/>
      <c r="D66" s="55"/>
      <c r="E66" s="46" t="s">
        <v>5</v>
      </c>
      <c r="F66" s="30" t="s">
        <v>6</v>
      </c>
      <c r="G66" s="30" t="s">
        <v>7</v>
      </c>
      <c r="H66" s="30" t="s">
        <v>6</v>
      </c>
      <c r="I66" s="30" t="s">
        <v>8</v>
      </c>
      <c r="J66" s="30" t="s">
        <v>6</v>
      </c>
      <c r="K66" s="30" t="s">
        <v>9</v>
      </c>
      <c r="L66" s="30" t="s">
        <v>6</v>
      </c>
      <c r="M66" s="30" t="s">
        <v>10</v>
      </c>
      <c r="N66" s="30" t="s">
        <v>6</v>
      </c>
      <c r="O66" s="30" t="s">
        <v>11</v>
      </c>
      <c r="P66" s="30" t="s">
        <v>6</v>
      </c>
      <c r="Q66" s="30" t="s">
        <v>12</v>
      </c>
      <c r="R66" s="30" t="s">
        <v>6</v>
      </c>
      <c r="S66" s="30" t="s">
        <v>13</v>
      </c>
      <c r="T66" s="50" t="s">
        <v>6</v>
      </c>
    </row>
    <row r="67" spans="1:43" s="45" customFormat="1" ht="211.15">
      <c r="A67" s="51" t="s">
        <v>1503</v>
      </c>
      <c r="B67" s="56">
        <v>3</v>
      </c>
      <c r="C67" s="56">
        <v>4</v>
      </c>
      <c r="D67" s="57">
        <v>15</v>
      </c>
      <c r="E67" s="29" t="s">
        <v>1703</v>
      </c>
      <c r="F67" s="26" t="s">
        <v>19</v>
      </c>
      <c r="G67" s="29" t="s">
        <v>1704</v>
      </c>
      <c r="H67" s="26" t="s">
        <v>19</v>
      </c>
      <c r="I67" s="29" t="s">
        <v>1705</v>
      </c>
      <c r="J67" s="26" t="s">
        <v>19</v>
      </c>
      <c r="K67" s="29" t="s">
        <v>1706</v>
      </c>
      <c r="L67" s="26" t="s">
        <v>19</v>
      </c>
      <c r="M67" s="29" t="s">
        <v>1707</v>
      </c>
      <c r="N67" s="26" t="s">
        <v>19</v>
      </c>
      <c r="O67" s="29" t="s">
        <v>1708</v>
      </c>
      <c r="P67" s="36" t="s">
        <v>1709</v>
      </c>
      <c r="Q67" s="29" t="s">
        <v>1710</v>
      </c>
      <c r="R67" s="34" t="s">
        <v>1711</v>
      </c>
      <c r="S67" s="29" t="s">
        <v>1712</v>
      </c>
      <c r="T67" s="50"/>
    </row>
    <row r="68" spans="1:43" s="45" customFormat="1" ht="15" customHeight="1">
      <c r="A68" s="55"/>
      <c r="B68" s="55"/>
      <c r="C68" s="55"/>
      <c r="D68" s="55"/>
      <c r="E68" s="93" t="s">
        <v>164</v>
      </c>
      <c r="F68" s="94"/>
      <c r="G68" s="94"/>
      <c r="H68" s="94"/>
      <c r="I68" s="94"/>
      <c r="J68" s="94"/>
      <c r="K68" s="94"/>
      <c r="L68" s="94"/>
      <c r="M68" s="94"/>
      <c r="N68" s="94"/>
      <c r="O68" s="94"/>
      <c r="P68" s="94"/>
      <c r="Q68" s="94"/>
      <c r="R68" s="94"/>
      <c r="S68" s="94"/>
      <c r="T68" s="95"/>
    </row>
    <row r="69" spans="1:43" s="45" customFormat="1" ht="15" customHeight="1">
      <c r="A69" s="55"/>
      <c r="B69" s="55"/>
      <c r="C69" s="55"/>
      <c r="D69" s="55"/>
      <c r="E69" s="46" t="s">
        <v>5</v>
      </c>
      <c r="F69" s="30" t="s">
        <v>6</v>
      </c>
      <c r="G69" s="30" t="s">
        <v>7</v>
      </c>
      <c r="H69" s="30" t="s">
        <v>6</v>
      </c>
      <c r="I69" s="30" t="s">
        <v>8</v>
      </c>
      <c r="J69" s="30" t="s">
        <v>6</v>
      </c>
      <c r="K69" s="30" t="s">
        <v>9</v>
      </c>
      <c r="L69" s="30" t="s">
        <v>6</v>
      </c>
      <c r="M69" s="30" t="s">
        <v>10</v>
      </c>
      <c r="N69" s="30" t="s">
        <v>6</v>
      </c>
      <c r="O69" s="30" t="s">
        <v>11</v>
      </c>
      <c r="P69" s="30" t="s">
        <v>6</v>
      </c>
      <c r="Q69" s="30" t="s">
        <v>12</v>
      </c>
      <c r="R69" s="30" t="s">
        <v>6</v>
      </c>
      <c r="S69" s="30" t="s">
        <v>13</v>
      </c>
      <c r="T69" s="50" t="s">
        <v>6</v>
      </c>
    </row>
    <row r="70" spans="1:43" s="45" customFormat="1" ht="224.45">
      <c r="A70" s="51" t="s">
        <v>1503</v>
      </c>
      <c r="B70" s="56">
        <v>3</v>
      </c>
      <c r="C70" s="56">
        <v>4</v>
      </c>
      <c r="D70" s="57">
        <v>20</v>
      </c>
      <c r="E70" s="29" t="s">
        <v>1713</v>
      </c>
      <c r="F70" s="26" t="s">
        <v>19</v>
      </c>
      <c r="G70" s="29" t="s">
        <v>1714</v>
      </c>
      <c r="H70" s="26" t="s">
        <v>19</v>
      </c>
      <c r="I70" s="29" t="s">
        <v>1684</v>
      </c>
      <c r="J70" s="26" t="s">
        <v>19</v>
      </c>
      <c r="K70" s="29" t="s">
        <v>1715</v>
      </c>
      <c r="L70" s="26" t="s">
        <v>19</v>
      </c>
      <c r="M70" s="29" t="s">
        <v>1716</v>
      </c>
      <c r="N70" s="26" t="s">
        <v>19</v>
      </c>
      <c r="O70" s="29" t="s">
        <v>1717</v>
      </c>
      <c r="P70" s="36" t="s">
        <v>1718</v>
      </c>
      <c r="Q70" s="29" t="s">
        <v>1719</v>
      </c>
      <c r="R70" s="34" t="s">
        <v>1720</v>
      </c>
      <c r="S70" s="29" t="s">
        <v>1721</v>
      </c>
      <c r="T70" s="50"/>
    </row>
    <row r="71" spans="1:43" s="45" customFormat="1" ht="15" customHeight="1">
      <c r="A71" s="55"/>
      <c r="B71" s="55"/>
      <c r="C71" s="55"/>
      <c r="D71" s="55"/>
      <c r="E71" s="93" t="s">
        <v>164</v>
      </c>
      <c r="F71" s="94"/>
      <c r="G71" s="94"/>
      <c r="H71" s="94"/>
      <c r="I71" s="94"/>
      <c r="J71" s="94"/>
      <c r="K71" s="94"/>
      <c r="L71" s="94"/>
      <c r="M71" s="94"/>
      <c r="N71" s="94"/>
      <c r="O71" s="94"/>
      <c r="P71" s="94"/>
      <c r="Q71" s="94"/>
      <c r="R71" s="94"/>
      <c r="S71" s="94"/>
      <c r="T71" s="95"/>
    </row>
    <row r="72" spans="1:43" s="45" customFormat="1" ht="15" customHeight="1">
      <c r="A72" s="55"/>
      <c r="B72" s="55"/>
      <c r="C72" s="55"/>
      <c r="D72" s="55"/>
      <c r="E72" s="46" t="s">
        <v>5</v>
      </c>
      <c r="F72" s="30" t="s">
        <v>6</v>
      </c>
      <c r="G72" s="30" t="s">
        <v>7</v>
      </c>
      <c r="H72" s="30" t="s">
        <v>6</v>
      </c>
      <c r="I72" s="30" t="s">
        <v>8</v>
      </c>
      <c r="J72" s="30" t="s">
        <v>6</v>
      </c>
      <c r="K72" s="30" t="s">
        <v>9</v>
      </c>
      <c r="L72" s="30" t="s">
        <v>6</v>
      </c>
      <c r="M72" s="30" t="s">
        <v>10</v>
      </c>
      <c r="N72" s="30" t="s">
        <v>6</v>
      </c>
      <c r="O72" s="30" t="s">
        <v>11</v>
      </c>
      <c r="P72" s="30" t="s">
        <v>6</v>
      </c>
      <c r="Q72" s="30" t="s">
        <v>12</v>
      </c>
      <c r="R72" s="30" t="s">
        <v>6</v>
      </c>
      <c r="S72" s="30" t="s">
        <v>13</v>
      </c>
      <c r="T72" s="50" t="s">
        <v>6</v>
      </c>
    </row>
    <row r="73" spans="1:43" s="45" customFormat="1" ht="369.6">
      <c r="A73" s="51" t="s">
        <v>1503</v>
      </c>
      <c r="B73" s="56">
        <v>3</v>
      </c>
      <c r="C73" s="56">
        <v>4</v>
      </c>
      <c r="D73" s="57">
        <v>21</v>
      </c>
      <c r="E73" s="29" t="s">
        <v>1722</v>
      </c>
      <c r="F73" s="26" t="s">
        <v>19</v>
      </c>
      <c r="G73" s="29" t="s">
        <v>1723</v>
      </c>
      <c r="H73" s="26" t="s">
        <v>19</v>
      </c>
      <c r="I73" s="29" t="s">
        <v>1684</v>
      </c>
      <c r="J73" s="26" t="s">
        <v>19</v>
      </c>
      <c r="K73" s="29" t="s">
        <v>1724</v>
      </c>
      <c r="L73" s="26" t="s">
        <v>19</v>
      </c>
      <c r="M73" s="29" t="s">
        <v>1725</v>
      </c>
      <c r="N73" s="26" t="s">
        <v>19</v>
      </c>
      <c r="O73" s="29" t="s">
        <v>1726</v>
      </c>
      <c r="P73" s="36" t="s">
        <v>1727</v>
      </c>
      <c r="Q73" s="29" t="s">
        <v>1728</v>
      </c>
      <c r="R73" s="26" t="s">
        <v>19</v>
      </c>
      <c r="S73" s="29" t="s">
        <v>1729</v>
      </c>
      <c r="T73" s="50"/>
    </row>
    <row r="74" spans="1:43" s="45" customFormat="1" ht="15" customHeight="1">
      <c r="A74" s="55"/>
      <c r="B74" s="55"/>
      <c r="C74" s="55"/>
      <c r="D74" s="55"/>
      <c r="E74" s="93" t="s">
        <v>164</v>
      </c>
      <c r="F74" s="94"/>
      <c r="G74" s="94"/>
      <c r="H74" s="94"/>
      <c r="I74" s="94"/>
      <c r="J74" s="94"/>
      <c r="K74" s="94"/>
      <c r="L74" s="94"/>
      <c r="M74" s="94"/>
      <c r="N74" s="94"/>
      <c r="O74" s="94"/>
      <c r="P74" s="94"/>
      <c r="Q74" s="94"/>
      <c r="R74" s="94"/>
      <c r="S74" s="94"/>
      <c r="T74" s="95"/>
    </row>
    <row r="75" spans="1:43" s="45" customFormat="1">
      <c r="A75" s="55"/>
      <c r="B75" s="55"/>
      <c r="C75" s="55"/>
      <c r="D75" s="55"/>
      <c r="E75" s="46" t="s">
        <v>5</v>
      </c>
      <c r="F75" s="30" t="s">
        <v>6</v>
      </c>
      <c r="G75" s="30" t="s">
        <v>7</v>
      </c>
      <c r="H75" s="30" t="s">
        <v>6</v>
      </c>
      <c r="I75" s="30" t="s">
        <v>8</v>
      </c>
      <c r="J75" s="30" t="s">
        <v>6</v>
      </c>
      <c r="K75" s="30" t="s">
        <v>9</v>
      </c>
      <c r="L75" s="30" t="s">
        <v>6</v>
      </c>
      <c r="M75" s="30" t="s">
        <v>10</v>
      </c>
      <c r="N75" s="30" t="s">
        <v>6</v>
      </c>
      <c r="O75" s="30" t="s">
        <v>11</v>
      </c>
      <c r="P75" s="30" t="s">
        <v>6</v>
      </c>
      <c r="Q75" s="30" t="s">
        <v>12</v>
      </c>
      <c r="R75" s="30" t="s">
        <v>6</v>
      </c>
      <c r="S75" s="30" t="s">
        <v>13</v>
      </c>
      <c r="T75" s="50" t="s">
        <v>6</v>
      </c>
    </row>
    <row r="76" spans="1:43" s="45" customFormat="1" ht="198">
      <c r="A76" s="51" t="s">
        <v>1503</v>
      </c>
      <c r="B76" s="56">
        <v>3</v>
      </c>
      <c r="C76" s="56">
        <v>4</v>
      </c>
      <c r="D76" s="57">
        <v>22</v>
      </c>
      <c r="E76" s="29" t="s">
        <v>1730</v>
      </c>
      <c r="F76" s="26" t="s">
        <v>19</v>
      </c>
      <c r="G76" s="29" t="s">
        <v>1731</v>
      </c>
      <c r="H76" s="26" t="s">
        <v>19</v>
      </c>
      <c r="I76" s="29" t="s">
        <v>1684</v>
      </c>
      <c r="J76" s="26" t="s">
        <v>19</v>
      </c>
      <c r="K76" s="29" t="s">
        <v>1732</v>
      </c>
      <c r="L76" s="26" t="s">
        <v>19</v>
      </c>
      <c r="M76" s="29" t="s">
        <v>1733</v>
      </c>
      <c r="N76" s="26" t="s">
        <v>19</v>
      </c>
      <c r="O76" s="29" t="s">
        <v>1734</v>
      </c>
      <c r="P76" s="26" t="s">
        <v>19</v>
      </c>
      <c r="Q76" s="29" t="s">
        <v>1735</v>
      </c>
      <c r="R76" s="34" t="s">
        <v>1736</v>
      </c>
      <c r="S76" s="29" t="s">
        <v>1737</v>
      </c>
      <c r="T76" s="50"/>
    </row>
    <row r="77" spans="1:43" s="45" customFormat="1" ht="15" customHeight="1">
      <c r="A77" s="55"/>
      <c r="B77" s="55"/>
      <c r="C77" s="55"/>
      <c r="D77" s="55"/>
      <c r="E77" s="93" t="s">
        <v>227</v>
      </c>
      <c r="F77" s="94"/>
      <c r="G77" s="94"/>
      <c r="H77" s="94"/>
      <c r="I77" s="94"/>
      <c r="J77" s="94"/>
      <c r="K77" s="94"/>
      <c r="L77" s="94"/>
      <c r="M77" s="94"/>
      <c r="N77" s="94"/>
      <c r="O77" s="94"/>
      <c r="P77" s="94"/>
      <c r="Q77" s="94"/>
      <c r="R77" s="94"/>
      <c r="S77" s="94"/>
      <c r="T77" s="95"/>
    </row>
    <row r="78" spans="1:43" s="45" customFormat="1" ht="15" customHeight="1">
      <c r="A78" s="55"/>
      <c r="B78" s="55"/>
      <c r="C78" s="55"/>
      <c r="D78" s="55"/>
      <c r="E78" s="46" t="s">
        <v>5</v>
      </c>
      <c r="F78" s="30" t="s">
        <v>6</v>
      </c>
      <c r="G78" s="30" t="s">
        <v>7</v>
      </c>
      <c r="H78" s="30" t="s">
        <v>6</v>
      </c>
      <c r="I78" s="30" t="s">
        <v>8</v>
      </c>
      <c r="J78" s="30" t="s">
        <v>6</v>
      </c>
      <c r="K78" s="30" t="s">
        <v>9</v>
      </c>
      <c r="L78" s="30" t="s">
        <v>6</v>
      </c>
      <c r="M78" s="30" t="s">
        <v>10</v>
      </c>
      <c r="N78" s="30" t="s">
        <v>6</v>
      </c>
      <c r="O78" s="30" t="s">
        <v>11</v>
      </c>
      <c r="P78" s="30" t="s">
        <v>6</v>
      </c>
      <c r="Q78" s="30" t="s">
        <v>12</v>
      </c>
      <c r="R78" s="30" t="s">
        <v>6</v>
      </c>
      <c r="S78" s="30" t="s">
        <v>13</v>
      </c>
      <c r="T78" s="50" t="s">
        <v>6</v>
      </c>
    </row>
    <row r="79" spans="1:43" s="45" customFormat="1" ht="241.5" customHeight="1">
      <c r="A79" s="51" t="s">
        <v>1503</v>
      </c>
      <c r="B79" s="56">
        <v>3</v>
      </c>
      <c r="C79" s="56">
        <v>5</v>
      </c>
      <c r="D79" s="57">
        <v>2</v>
      </c>
      <c r="E79" s="29" t="s">
        <v>1738</v>
      </c>
      <c r="F79" s="34" t="s">
        <v>1739</v>
      </c>
      <c r="G79" s="29" t="s">
        <v>1740</v>
      </c>
      <c r="H79" s="36" t="s">
        <v>1741</v>
      </c>
      <c r="I79" s="29" t="s">
        <v>1742</v>
      </c>
      <c r="J79" s="34" t="s">
        <v>1743</v>
      </c>
      <c r="K79" s="29" t="s">
        <v>1744</v>
      </c>
      <c r="L79" s="34" t="s">
        <v>1745</v>
      </c>
      <c r="M79" s="29" t="s">
        <v>1746</v>
      </c>
      <c r="N79" s="34" t="s">
        <v>1747</v>
      </c>
      <c r="O79" s="29" t="s">
        <v>1748</v>
      </c>
      <c r="P79" s="36" t="s">
        <v>1749</v>
      </c>
      <c r="Q79" s="29" t="s">
        <v>128</v>
      </c>
      <c r="R79" s="26" t="s">
        <v>19</v>
      </c>
      <c r="S79" s="29"/>
      <c r="T79" s="50"/>
    </row>
    <row r="80" spans="1:43" s="45" customFormat="1" ht="15" customHeight="1">
      <c r="A80" s="55"/>
      <c r="B80" s="55"/>
      <c r="C80" s="55"/>
      <c r="D80" s="55"/>
      <c r="E80" s="93" t="s">
        <v>227</v>
      </c>
      <c r="F80" s="94"/>
      <c r="G80" s="94"/>
      <c r="H80" s="94"/>
      <c r="I80" s="94"/>
      <c r="J80" s="94"/>
      <c r="K80" s="94"/>
      <c r="L80" s="94"/>
      <c r="M80" s="94"/>
      <c r="N80" s="94"/>
      <c r="O80" s="94"/>
      <c r="P80" s="94"/>
      <c r="Q80" s="94"/>
      <c r="R80" s="94"/>
      <c r="S80" s="94"/>
      <c r="T80" s="95"/>
      <c r="AQ80" s="45" t="str">
        <f>CHAR(10)</f>
        <v xml:space="preserve">
</v>
      </c>
    </row>
    <row r="81" spans="1:20" s="45" customFormat="1" ht="15" customHeight="1">
      <c r="A81" s="55"/>
      <c r="B81" s="55"/>
      <c r="C81" s="55"/>
      <c r="D81" s="55"/>
      <c r="E81" s="46" t="s">
        <v>5</v>
      </c>
      <c r="F81" s="30" t="s">
        <v>6</v>
      </c>
      <c r="G81" s="30" t="s">
        <v>7</v>
      </c>
      <c r="H81" s="30" t="s">
        <v>6</v>
      </c>
      <c r="I81" s="30" t="s">
        <v>8</v>
      </c>
      <c r="J81" s="30" t="s">
        <v>6</v>
      </c>
      <c r="K81" s="30" t="s">
        <v>9</v>
      </c>
      <c r="L81" s="30" t="s">
        <v>6</v>
      </c>
      <c r="M81" s="30" t="s">
        <v>10</v>
      </c>
      <c r="N81" s="30" t="s">
        <v>6</v>
      </c>
      <c r="O81" s="30" t="s">
        <v>11</v>
      </c>
      <c r="P81" s="30" t="s">
        <v>6</v>
      </c>
      <c r="Q81" s="30" t="s">
        <v>12</v>
      </c>
      <c r="R81" s="30" t="s">
        <v>6</v>
      </c>
      <c r="S81" s="30" t="s">
        <v>13</v>
      </c>
      <c r="T81" s="50" t="s">
        <v>6</v>
      </c>
    </row>
    <row r="82" spans="1:20" s="45" customFormat="1" ht="175.5" customHeight="1">
      <c r="A82" s="51" t="s">
        <v>1503</v>
      </c>
      <c r="B82" s="56">
        <v>3</v>
      </c>
      <c r="C82" s="56">
        <v>5</v>
      </c>
      <c r="D82" s="57">
        <v>6</v>
      </c>
      <c r="E82" s="29" t="s">
        <v>1750</v>
      </c>
      <c r="F82" s="26" t="s">
        <v>19</v>
      </c>
      <c r="G82" s="29" t="s">
        <v>1751</v>
      </c>
      <c r="H82" s="36" t="s">
        <v>1741</v>
      </c>
      <c r="I82" s="29" t="s">
        <v>1752</v>
      </c>
      <c r="J82" s="26" t="s">
        <v>19</v>
      </c>
      <c r="K82" s="29" t="s">
        <v>1753</v>
      </c>
      <c r="L82" s="26" t="s">
        <v>19</v>
      </c>
      <c r="M82" s="29" t="s">
        <v>1754</v>
      </c>
      <c r="N82" s="26" t="s">
        <v>19</v>
      </c>
      <c r="O82" s="29" t="s">
        <v>1755</v>
      </c>
      <c r="P82" s="26" t="s">
        <v>19</v>
      </c>
      <c r="Q82" s="29" t="s">
        <v>128</v>
      </c>
      <c r="R82" s="26" t="s">
        <v>19</v>
      </c>
      <c r="S82" s="29"/>
      <c r="T82" s="50"/>
    </row>
    <row r="83" spans="1:20" s="45" customFormat="1" ht="15" customHeight="1">
      <c r="A83" s="55"/>
      <c r="B83" s="55"/>
      <c r="C83" s="55"/>
      <c r="D83" s="55"/>
      <c r="E83" s="93" t="s">
        <v>227</v>
      </c>
      <c r="F83" s="94"/>
      <c r="G83" s="94"/>
      <c r="H83" s="94"/>
      <c r="I83" s="94"/>
      <c r="J83" s="94"/>
      <c r="K83" s="94"/>
      <c r="L83" s="94"/>
      <c r="M83" s="94"/>
      <c r="N83" s="94"/>
      <c r="O83" s="94"/>
      <c r="P83" s="94"/>
      <c r="Q83" s="94"/>
      <c r="R83" s="94"/>
      <c r="S83" s="94"/>
      <c r="T83" s="95"/>
    </row>
    <row r="84" spans="1:20" s="45" customFormat="1" ht="15" customHeight="1">
      <c r="A84" s="55"/>
      <c r="B84" s="55"/>
      <c r="C84" s="55"/>
      <c r="D84" s="55"/>
      <c r="E84" s="46" t="s">
        <v>5</v>
      </c>
      <c r="F84" s="30" t="s">
        <v>6</v>
      </c>
      <c r="G84" s="30" t="s">
        <v>7</v>
      </c>
      <c r="H84" s="30" t="s">
        <v>6</v>
      </c>
      <c r="I84" s="30" t="s">
        <v>8</v>
      </c>
      <c r="J84" s="30" t="s">
        <v>6</v>
      </c>
      <c r="K84" s="30" t="s">
        <v>9</v>
      </c>
      <c r="L84" s="30" t="s">
        <v>6</v>
      </c>
      <c r="M84" s="30" t="s">
        <v>10</v>
      </c>
      <c r="N84" s="30" t="s">
        <v>6</v>
      </c>
      <c r="O84" s="30" t="s">
        <v>11</v>
      </c>
      <c r="P84" s="30" t="s">
        <v>6</v>
      </c>
      <c r="Q84" s="30" t="s">
        <v>12</v>
      </c>
      <c r="R84" s="30" t="s">
        <v>6</v>
      </c>
      <c r="S84" s="30" t="s">
        <v>13</v>
      </c>
      <c r="T84" s="50" t="s">
        <v>6</v>
      </c>
    </row>
    <row r="85" spans="1:20" s="45" customFormat="1" ht="170.25" customHeight="1">
      <c r="A85" s="51" t="s">
        <v>1503</v>
      </c>
      <c r="B85" s="56">
        <v>3</v>
      </c>
      <c r="C85" s="56">
        <v>5</v>
      </c>
      <c r="D85" s="57">
        <v>11</v>
      </c>
      <c r="E85" s="29" t="s">
        <v>1756</v>
      </c>
      <c r="F85" s="26" t="s">
        <v>19</v>
      </c>
      <c r="G85" s="29" t="s">
        <v>1757</v>
      </c>
      <c r="H85" s="36" t="s">
        <v>1741</v>
      </c>
      <c r="I85" s="29" t="s">
        <v>1758</v>
      </c>
      <c r="J85" s="26" t="s">
        <v>19</v>
      </c>
      <c r="K85" s="29" t="s">
        <v>1759</v>
      </c>
      <c r="L85" s="34" t="s">
        <v>1760</v>
      </c>
      <c r="M85" s="29" t="s">
        <v>1761</v>
      </c>
      <c r="N85" s="26" t="s">
        <v>19</v>
      </c>
      <c r="O85" s="29" t="s">
        <v>1762</v>
      </c>
      <c r="P85" s="26" t="s">
        <v>19</v>
      </c>
      <c r="Q85" s="29" t="s">
        <v>1763</v>
      </c>
      <c r="R85" s="36" t="s">
        <v>1764</v>
      </c>
      <c r="S85" s="29"/>
      <c r="T85" s="50"/>
    </row>
    <row r="86" spans="1:20" s="45" customFormat="1" ht="15" customHeight="1">
      <c r="A86" s="55"/>
      <c r="B86" s="55"/>
      <c r="C86" s="55"/>
      <c r="D86" s="55"/>
      <c r="E86" s="93" t="s">
        <v>227</v>
      </c>
      <c r="F86" s="94"/>
      <c r="G86" s="94"/>
      <c r="H86" s="94"/>
      <c r="I86" s="94"/>
      <c r="J86" s="94"/>
      <c r="K86" s="94"/>
      <c r="L86" s="94"/>
      <c r="M86" s="94"/>
      <c r="N86" s="94"/>
      <c r="O86" s="94"/>
      <c r="P86" s="94"/>
      <c r="Q86" s="94"/>
      <c r="R86" s="94"/>
      <c r="S86" s="94"/>
      <c r="T86" s="95"/>
    </row>
    <row r="87" spans="1:20" s="45" customFormat="1" ht="15" customHeight="1">
      <c r="A87" s="55"/>
      <c r="B87" s="55"/>
      <c r="C87" s="55"/>
      <c r="D87" s="55"/>
      <c r="E87" s="46" t="s">
        <v>5</v>
      </c>
      <c r="F87" s="30" t="s">
        <v>6</v>
      </c>
      <c r="G87" s="30" t="s">
        <v>7</v>
      </c>
      <c r="H87" s="30" t="s">
        <v>6</v>
      </c>
      <c r="I87" s="30" t="s">
        <v>8</v>
      </c>
      <c r="J87" s="30" t="s">
        <v>6</v>
      </c>
      <c r="K87" s="30" t="s">
        <v>9</v>
      </c>
      <c r="L87" s="30" t="s">
        <v>6</v>
      </c>
      <c r="M87" s="30" t="s">
        <v>10</v>
      </c>
      <c r="N87" s="30" t="s">
        <v>6</v>
      </c>
      <c r="O87" s="30" t="s">
        <v>11</v>
      </c>
      <c r="P87" s="30" t="s">
        <v>6</v>
      </c>
      <c r="Q87" s="30" t="s">
        <v>12</v>
      </c>
      <c r="R87" s="30" t="s">
        <v>6</v>
      </c>
      <c r="S87" s="30" t="s">
        <v>13</v>
      </c>
      <c r="T87" s="50" t="s">
        <v>6</v>
      </c>
    </row>
    <row r="88" spans="1:20" s="45" customFormat="1" ht="159" customHeight="1">
      <c r="A88" s="51" t="s">
        <v>1503</v>
      </c>
      <c r="B88" s="56">
        <v>3</v>
      </c>
      <c r="C88" s="56">
        <v>5</v>
      </c>
      <c r="D88" s="57">
        <v>16</v>
      </c>
      <c r="E88" s="29" t="s">
        <v>1765</v>
      </c>
      <c r="F88" s="26" t="s">
        <v>19</v>
      </c>
      <c r="G88" s="29" t="s">
        <v>1766</v>
      </c>
      <c r="H88" s="36" t="s">
        <v>1741</v>
      </c>
      <c r="I88" s="29" t="s">
        <v>1767</v>
      </c>
      <c r="J88" s="26" t="s">
        <v>19</v>
      </c>
      <c r="K88" s="29" t="s">
        <v>1768</v>
      </c>
      <c r="L88" s="26" t="s">
        <v>19</v>
      </c>
      <c r="M88" s="29" t="s">
        <v>1769</v>
      </c>
      <c r="N88" s="26" t="s">
        <v>19</v>
      </c>
      <c r="O88" s="29" t="s">
        <v>1770</v>
      </c>
      <c r="P88" s="26" t="s">
        <v>19</v>
      </c>
      <c r="Q88" s="29" t="s">
        <v>128</v>
      </c>
      <c r="R88" s="26" t="s">
        <v>19</v>
      </c>
      <c r="S88" s="29"/>
      <c r="T88" s="50"/>
    </row>
    <row r="89" spans="1:20" s="45" customFormat="1" ht="15" customHeight="1">
      <c r="A89" s="55"/>
      <c r="B89" s="55"/>
      <c r="C89" s="55"/>
      <c r="D89" s="55"/>
      <c r="E89" s="93" t="s">
        <v>227</v>
      </c>
      <c r="F89" s="94"/>
      <c r="G89" s="94"/>
      <c r="H89" s="94"/>
      <c r="I89" s="94"/>
      <c r="J89" s="94"/>
      <c r="K89" s="94"/>
      <c r="L89" s="94"/>
      <c r="M89" s="94"/>
      <c r="N89" s="94"/>
      <c r="O89" s="94"/>
      <c r="P89" s="94"/>
      <c r="Q89" s="94"/>
      <c r="R89" s="94"/>
      <c r="S89" s="94"/>
      <c r="T89" s="95"/>
    </row>
    <row r="90" spans="1:20" s="45" customFormat="1" ht="15" customHeight="1">
      <c r="A90" s="55"/>
      <c r="B90" s="55"/>
      <c r="C90" s="55"/>
      <c r="D90" s="55"/>
      <c r="E90" s="46" t="s">
        <v>5</v>
      </c>
      <c r="F90" s="30" t="s">
        <v>6</v>
      </c>
      <c r="G90" s="30" t="s">
        <v>7</v>
      </c>
      <c r="H90" s="30" t="s">
        <v>6</v>
      </c>
      <c r="I90" s="30" t="s">
        <v>8</v>
      </c>
      <c r="J90" s="30" t="s">
        <v>6</v>
      </c>
      <c r="K90" s="30" t="s">
        <v>9</v>
      </c>
      <c r="L90" s="30" t="s">
        <v>6</v>
      </c>
      <c r="M90" s="30" t="s">
        <v>10</v>
      </c>
      <c r="N90" s="30" t="s">
        <v>6</v>
      </c>
      <c r="O90" s="30" t="s">
        <v>11</v>
      </c>
      <c r="P90" s="30" t="s">
        <v>6</v>
      </c>
      <c r="Q90" s="30" t="s">
        <v>12</v>
      </c>
      <c r="R90" s="30" t="s">
        <v>6</v>
      </c>
      <c r="S90" s="30" t="s">
        <v>13</v>
      </c>
      <c r="T90" s="50" t="s">
        <v>6</v>
      </c>
    </row>
    <row r="91" spans="1:20" s="45" customFormat="1" ht="173.25" customHeight="1">
      <c r="A91" s="51" t="s">
        <v>1503</v>
      </c>
      <c r="B91" s="56">
        <v>3</v>
      </c>
      <c r="C91" s="56">
        <v>5</v>
      </c>
      <c r="D91" s="57">
        <v>23</v>
      </c>
      <c r="E91" s="29" t="s">
        <v>1771</v>
      </c>
      <c r="F91" s="26" t="s">
        <v>19</v>
      </c>
      <c r="G91" s="29" t="s">
        <v>1772</v>
      </c>
      <c r="H91" s="36" t="s">
        <v>1741</v>
      </c>
      <c r="I91" s="29" t="s">
        <v>1758</v>
      </c>
      <c r="J91" s="26" t="s">
        <v>19</v>
      </c>
      <c r="K91" s="29" t="s">
        <v>1773</v>
      </c>
      <c r="L91" s="26" t="s">
        <v>19</v>
      </c>
      <c r="M91" s="29" t="s">
        <v>1774</v>
      </c>
      <c r="N91" s="26" t="s">
        <v>19</v>
      </c>
      <c r="O91" s="29" t="s">
        <v>1775</v>
      </c>
      <c r="P91" s="26" t="s">
        <v>19</v>
      </c>
      <c r="Q91" s="29" t="s">
        <v>128</v>
      </c>
      <c r="R91" s="26" t="s">
        <v>19</v>
      </c>
      <c r="S91" s="29"/>
      <c r="T91" s="50"/>
    </row>
    <row r="92" spans="1:20" s="45" customFormat="1" ht="15" customHeight="1">
      <c r="A92" s="55"/>
      <c r="B92" s="55"/>
      <c r="C92" s="55"/>
      <c r="D92" s="55"/>
      <c r="E92" s="93" t="s">
        <v>227</v>
      </c>
      <c r="F92" s="94"/>
      <c r="G92" s="94"/>
      <c r="H92" s="94"/>
      <c r="I92" s="94"/>
      <c r="J92" s="94"/>
      <c r="K92" s="94"/>
      <c r="L92" s="94"/>
      <c r="M92" s="94"/>
      <c r="N92" s="94"/>
      <c r="O92" s="94"/>
      <c r="P92" s="94"/>
      <c r="Q92" s="94"/>
      <c r="R92" s="94"/>
      <c r="S92" s="94"/>
      <c r="T92" s="95"/>
    </row>
    <row r="93" spans="1:20" s="45" customFormat="1" ht="15" customHeight="1">
      <c r="A93" s="55"/>
      <c r="B93" s="55"/>
      <c r="C93" s="55"/>
      <c r="D93" s="55"/>
      <c r="E93" s="46" t="s">
        <v>5</v>
      </c>
      <c r="F93" s="30" t="s">
        <v>6</v>
      </c>
      <c r="G93" s="30" t="s">
        <v>7</v>
      </c>
      <c r="H93" s="30" t="s">
        <v>6</v>
      </c>
      <c r="I93" s="30" t="s">
        <v>8</v>
      </c>
      <c r="J93" s="30" t="s">
        <v>6</v>
      </c>
      <c r="K93" s="30" t="s">
        <v>9</v>
      </c>
      <c r="L93" s="30" t="s">
        <v>6</v>
      </c>
      <c r="M93" s="30" t="s">
        <v>10</v>
      </c>
      <c r="N93" s="30" t="s">
        <v>6</v>
      </c>
      <c r="O93" s="30" t="s">
        <v>11</v>
      </c>
      <c r="P93" s="30" t="s">
        <v>6</v>
      </c>
      <c r="Q93" s="30" t="s">
        <v>12</v>
      </c>
      <c r="R93" s="30" t="s">
        <v>6</v>
      </c>
      <c r="S93" s="30" t="s">
        <v>13</v>
      </c>
      <c r="T93" s="50" t="s">
        <v>6</v>
      </c>
    </row>
    <row r="94" spans="1:20" s="45" customFormat="1" ht="156" customHeight="1">
      <c r="A94" s="51" t="s">
        <v>1503</v>
      </c>
      <c r="B94" s="56">
        <v>3</v>
      </c>
      <c r="C94" s="56">
        <v>5</v>
      </c>
      <c r="D94" s="57">
        <v>24</v>
      </c>
      <c r="E94" s="29" t="s">
        <v>1776</v>
      </c>
      <c r="F94" s="26" t="s">
        <v>19</v>
      </c>
      <c r="G94" s="29" t="s">
        <v>1777</v>
      </c>
      <c r="H94" s="36" t="s">
        <v>1741</v>
      </c>
      <c r="I94" s="29" t="s">
        <v>1778</v>
      </c>
      <c r="J94" s="26" t="s">
        <v>19</v>
      </c>
      <c r="K94" s="29" t="s">
        <v>1779</v>
      </c>
      <c r="L94" s="26" t="s">
        <v>19</v>
      </c>
      <c r="M94" s="29" t="s">
        <v>1780</v>
      </c>
      <c r="N94" s="26" t="s">
        <v>19</v>
      </c>
      <c r="O94" s="29" t="s">
        <v>1781</v>
      </c>
      <c r="P94" s="26" t="s">
        <v>19</v>
      </c>
      <c r="Q94" s="29" t="s">
        <v>128</v>
      </c>
      <c r="R94" s="26" t="s">
        <v>19</v>
      </c>
      <c r="S94" s="29"/>
      <c r="T94" s="50"/>
    </row>
    <row r="95" spans="1:20" s="45" customFormat="1" ht="15" customHeight="1">
      <c r="A95" s="55"/>
      <c r="B95" s="55"/>
      <c r="C95" s="55"/>
      <c r="D95" s="55"/>
      <c r="E95" s="93" t="s">
        <v>227</v>
      </c>
      <c r="F95" s="94"/>
      <c r="G95" s="94"/>
      <c r="H95" s="94"/>
      <c r="I95" s="94"/>
      <c r="J95" s="94"/>
      <c r="K95" s="94"/>
      <c r="L95" s="94"/>
      <c r="M95" s="94"/>
      <c r="N95" s="94"/>
      <c r="O95" s="94"/>
      <c r="P95" s="94"/>
      <c r="Q95" s="94"/>
      <c r="R95" s="94"/>
      <c r="S95" s="94"/>
      <c r="T95" s="95"/>
    </row>
    <row r="96" spans="1:20" s="45" customFormat="1" ht="15" customHeight="1">
      <c r="A96" s="55"/>
      <c r="B96" s="55"/>
      <c r="C96" s="55"/>
      <c r="D96" s="55"/>
      <c r="E96" s="46" t="s">
        <v>5</v>
      </c>
      <c r="F96" s="30" t="s">
        <v>6</v>
      </c>
      <c r="G96" s="30" t="s">
        <v>7</v>
      </c>
      <c r="H96" s="30" t="s">
        <v>6</v>
      </c>
      <c r="I96" s="30" t="s">
        <v>8</v>
      </c>
      <c r="J96" s="30" t="s">
        <v>6</v>
      </c>
      <c r="K96" s="30" t="s">
        <v>9</v>
      </c>
      <c r="L96" s="30" t="s">
        <v>6</v>
      </c>
      <c r="M96" s="30" t="s">
        <v>10</v>
      </c>
      <c r="N96" s="30" t="s">
        <v>6</v>
      </c>
      <c r="O96" s="30" t="s">
        <v>11</v>
      </c>
      <c r="P96" s="30" t="s">
        <v>6</v>
      </c>
      <c r="Q96" s="30" t="s">
        <v>12</v>
      </c>
      <c r="R96" s="30" t="s">
        <v>6</v>
      </c>
      <c r="S96" s="30" t="s">
        <v>13</v>
      </c>
      <c r="T96" s="50" t="s">
        <v>6</v>
      </c>
    </row>
    <row r="97" spans="1:20" s="45" customFormat="1" ht="211.15">
      <c r="A97" s="51" t="s">
        <v>1503</v>
      </c>
      <c r="B97" s="56">
        <v>3</v>
      </c>
      <c r="C97" s="56">
        <v>5</v>
      </c>
      <c r="D97" s="57">
        <v>25</v>
      </c>
      <c r="E97" s="29" t="s">
        <v>1782</v>
      </c>
      <c r="F97" s="26" t="s">
        <v>19</v>
      </c>
      <c r="G97" s="29" t="s">
        <v>1783</v>
      </c>
      <c r="H97" s="36" t="s">
        <v>1741</v>
      </c>
      <c r="I97" s="29" t="s">
        <v>1784</v>
      </c>
      <c r="J97" s="26" t="s">
        <v>19</v>
      </c>
      <c r="K97" s="29" t="s">
        <v>1785</v>
      </c>
      <c r="L97" s="26" t="s">
        <v>19</v>
      </c>
      <c r="M97" s="29" t="s">
        <v>1786</v>
      </c>
      <c r="N97" s="26" t="s">
        <v>19</v>
      </c>
      <c r="O97" s="29" t="s">
        <v>1787</v>
      </c>
      <c r="P97" s="26" t="s">
        <v>19</v>
      </c>
      <c r="Q97" s="29" t="s">
        <v>128</v>
      </c>
      <c r="R97" s="26" t="s">
        <v>19</v>
      </c>
      <c r="S97" s="29"/>
      <c r="T97" s="50"/>
    </row>
    <row r="98" spans="1:20" s="45" customFormat="1" ht="15" customHeight="1">
      <c r="A98" s="55"/>
      <c r="B98" s="55"/>
      <c r="C98" s="55"/>
      <c r="D98" s="55"/>
      <c r="E98" s="93" t="s">
        <v>276</v>
      </c>
      <c r="F98" s="94"/>
      <c r="G98" s="94"/>
      <c r="H98" s="94"/>
      <c r="I98" s="94"/>
      <c r="J98" s="94"/>
      <c r="K98" s="94"/>
      <c r="L98" s="94"/>
      <c r="M98" s="94"/>
      <c r="N98" s="94"/>
      <c r="O98" s="94"/>
      <c r="P98" s="94"/>
      <c r="Q98" s="94"/>
      <c r="R98" s="94"/>
      <c r="S98" s="94"/>
      <c r="T98" s="95"/>
    </row>
    <row r="99" spans="1:20" s="45" customFormat="1" ht="15" customHeight="1">
      <c r="A99" s="55"/>
      <c r="B99" s="55"/>
      <c r="C99" s="55"/>
      <c r="D99" s="55"/>
      <c r="E99" s="46" t="s">
        <v>5</v>
      </c>
      <c r="F99" s="30" t="s">
        <v>6</v>
      </c>
      <c r="G99" s="30" t="s">
        <v>7</v>
      </c>
      <c r="H99" s="30" t="s">
        <v>6</v>
      </c>
      <c r="I99" s="30" t="s">
        <v>8</v>
      </c>
      <c r="J99" s="30" t="s">
        <v>6</v>
      </c>
      <c r="K99" s="30" t="s">
        <v>9</v>
      </c>
      <c r="L99" s="30" t="s">
        <v>6</v>
      </c>
      <c r="M99" s="30" t="s">
        <v>10</v>
      </c>
      <c r="N99" s="30" t="s">
        <v>6</v>
      </c>
      <c r="O99" s="30" t="s">
        <v>11</v>
      </c>
      <c r="P99" s="30" t="s">
        <v>6</v>
      </c>
      <c r="Q99" s="30" t="s">
        <v>12</v>
      </c>
      <c r="R99" s="30" t="s">
        <v>6</v>
      </c>
      <c r="S99" s="30" t="s">
        <v>13</v>
      </c>
      <c r="T99" s="50" t="s">
        <v>6</v>
      </c>
    </row>
    <row r="100" spans="1:20" s="45" customFormat="1" ht="158.44999999999999">
      <c r="A100" s="51" t="s">
        <v>1503</v>
      </c>
      <c r="B100" s="56">
        <v>3</v>
      </c>
      <c r="C100" s="56">
        <v>6</v>
      </c>
      <c r="D100" s="57">
        <v>2</v>
      </c>
      <c r="E100" s="29" t="s">
        <v>1788</v>
      </c>
      <c r="F100" s="26"/>
      <c r="G100" s="29" t="s">
        <v>295</v>
      </c>
      <c r="H100" s="26"/>
      <c r="I100" s="29" t="s">
        <v>1789</v>
      </c>
      <c r="J100" s="26"/>
      <c r="K100" s="29" t="s">
        <v>1790</v>
      </c>
      <c r="L100" s="26" t="s">
        <v>1791</v>
      </c>
      <c r="M100" s="29" t="s">
        <v>1792</v>
      </c>
      <c r="N100" s="26"/>
      <c r="O100" s="29" t="s">
        <v>1793</v>
      </c>
      <c r="P100" s="36" t="s">
        <v>1794</v>
      </c>
      <c r="Q100" s="29" t="s">
        <v>1795</v>
      </c>
      <c r="R100" s="26"/>
      <c r="S100" s="29"/>
      <c r="T100" s="50"/>
    </row>
    <row r="101" spans="1:20" s="45" customFormat="1" ht="15" customHeight="1">
      <c r="A101" s="55"/>
      <c r="B101" s="55"/>
      <c r="C101" s="55"/>
      <c r="D101" s="55"/>
      <c r="E101" s="93" t="s">
        <v>276</v>
      </c>
      <c r="F101" s="94"/>
      <c r="G101" s="94"/>
      <c r="H101" s="94"/>
      <c r="I101" s="94"/>
      <c r="J101" s="94"/>
      <c r="K101" s="94"/>
      <c r="L101" s="94"/>
      <c r="M101" s="94"/>
      <c r="N101" s="94"/>
      <c r="O101" s="94"/>
      <c r="P101" s="94"/>
      <c r="Q101" s="94"/>
      <c r="R101" s="94"/>
      <c r="S101" s="94"/>
      <c r="T101" s="95"/>
    </row>
    <row r="102" spans="1:20" s="45" customFormat="1" ht="15" customHeight="1">
      <c r="A102" s="55"/>
      <c r="B102" s="55"/>
      <c r="C102" s="55"/>
      <c r="D102" s="55"/>
      <c r="E102" s="46" t="s">
        <v>5</v>
      </c>
      <c r="F102" s="30" t="s">
        <v>6</v>
      </c>
      <c r="G102" s="30" t="s">
        <v>7</v>
      </c>
      <c r="H102" s="30" t="s">
        <v>6</v>
      </c>
      <c r="I102" s="30" t="s">
        <v>8</v>
      </c>
      <c r="J102" s="30" t="s">
        <v>6</v>
      </c>
      <c r="K102" s="30" t="s">
        <v>9</v>
      </c>
      <c r="L102" s="30" t="s">
        <v>6</v>
      </c>
      <c r="M102" s="30" t="s">
        <v>10</v>
      </c>
      <c r="N102" s="30" t="s">
        <v>6</v>
      </c>
      <c r="O102" s="30" t="s">
        <v>11</v>
      </c>
      <c r="P102" s="30" t="s">
        <v>6</v>
      </c>
      <c r="Q102" s="30" t="s">
        <v>12</v>
      </c>
      <c r="R102" s="30" t="s">
        <v>6</v>
      </c>
      <c r="S102" s="30" t="s">
        <v>13</v>
      </c>
      <c r="T102" s="50" t="s">
        <v>6</v>
      </c>
    </row>
    <row r="103" spans="1:20" s="45" customFormat="1" ht="158.44999999999999">
      <c r="A103" s="51" t="s">
        <v>1503</v>
      </c>
      <c r="B103" s="56">
        <v>3</v>
      </c>
      <c r="C103" s="56">
        <v>6</v>
      </c>
      <c r="D103" s="57">
        <v>7</v>
      </c>
      <c r="E103" s="29" t="s">
        <v>1796</v>
      </c>
      <c r="F103" s="26"/>
      <c r="G103" s="29" t="s">
        <v>278</v>
      </c>
      <c r="H103" s="26"/>
      <c r="I103" s="29" t="s">
        <v>1789</v>
      </c>
      <c r="J103" s="26"/>
      <c r="K103" s="29" t="s">
        <v>1797</v>
      </c>
      <c r="L103" s="26" t="s">
        <v>1798</v>
      </c>
      <c r="M103" s="29" t="s">
        <v>1799</v>
      </c>
      <c r="N103" s="26"/>
      <c r="O103" s="29" t="s">
        <v>1800</v>
      </c>
      <c r="P103" s="36" t="s">
        <v>1801</v>
      </c>
      <c r="Q103" s="29" t="s">
        <v>1802</v>
      </c>
      <c r="R103" s="26"/>
      <c r="S103" s="29"/>
      <c r="T103" s="50"/>
    </row>
    <row r="104" spans="1:20" s="45" customFormat="1" ht="15" customHeight="1">
      <c r="A104" s="55"/>
      <c r="B104" s="55"/>
      <c r="C104" s="55"/>
      <c r="D104" s="55"/>
      <c r="E104" s="93" t="s">
        <v>276</v>
      </c>
      <c r="F104" s="94"/>
      <c r="G104" s="94"/>
      <c r="H104" s="94"/>
      <c r="I104" s="94"/>
      <c r="J104" s="94"/>
      <c r="K104" s="94"/>
      <c r="L104" s="94"/>
      <c r="M104" s="94"/>
      <c r="N104" s="94"/>
      <c r="O104" s="94"/>
      <c r="P104" s="94"/>
      <c r="Q104" s="94"/>
      <c r="R104" s="94"/>
      <c r="S104" s="94"/>
      <c r="T104" s="95"/>
    </row>
    <row r="105" spans="1:20" s="45" customFormat="1" ht="15" customHeight="1">
      <c r="A105" s="55"/>
      <c r="B105" s="55"/>
      <c r="C105" s="55"/>
      <c r="D105" s="55"/>
      <c r="E105" s="46" t="s">
        <v>5</v>
      </c>
      <c r="F105" s="30" t="s">
        <v>6</v>
      </c>
      <c r="G105" s="30" t="s">
        <v>7</v>
      </c>
      <c r="H105" s="30" t="s">
        <v>6</v>
      </c>
      <c r="I105" s="30" t="s">
        <v>8</v>
      </c>
      <c r="J105" s="30" t="s">
        <v>6</v>
      </c>
      <c r="K105" s="30" t="s">
        <v>9</v>
      </c>
      <c r="L105" s="30" t="s">
        <v>6</v>
      </c>
      <c r="M105" s="30" t="s">
        <v>10</v>
      </c>
      <c r="N105" s="30" t="s">
        <v>6</v>
      </c>
      <c r="O105" s="30" t="s">
        <v>11</v>
      </c>
      <c r="P105" s="30" t="s">
        <v>6</v>
      </c>
      <c r="Q105" s="30" t="s">
        <v>12</v>
      </c>
      <c r="R105" s="30" t="s">
        <v>6</v>
      </c>
      <c r="S105" s="30" t="s">
        <v>13</v>
      </c>
      <c r="T105" s="50" t="s">
        <v>6</v>
      </c>
    </row>
    <row r="106" spans="1:20" s="45" customFormat="1" ht="145.15">
      <c r="A106" s="51" t="s">
        <v>1503</v>
      </c>
      <c r="B106" s="56">
        <v>3</v>
      </c>
      <c r="C106" s="56">
        <v>6</v>
      </c>
      <c r="D106" s="57">
        <v>12</v>
      </c>
      <c r="E106" s="29" t="s">
        <v>1803</v>
      </c>
      <c r="F106" s="26"/>
      <c r="G106" s="29" t="s">
        <v>295</v>
      </c>
      <c r="H106" s="26"/>
      <c r="I106" s="29" t="s">
        <v>1789</v>
      </c>
      <c r="J106" s="26"/>
      <c r="K106" s="29" t="s">
        <v>1804</v>
      </c>
      <c r="L106" s="26" t="s">
        <v>1798</v>
      </c>
      <c r="M106" s="29" t="s">
        <v>1805</v>
      </c>
      <c r="N106" s="26"/>
      <c r="O106" s="29" t="s">
        <v>1806</v>
      </c>
      <c r="P106" s="26"/>
      <c r="Q106" s="29" t="s">
        <v>1807</v>
      </c>
      <c r="R106" s="26"/>
      <c r="S106" s="29"/>
      <c r="T106" s="50"/>
    </row>
    <row r="107" spans="1:20" s="45" customFormat="1" ht="15" customHeight="1">
      <c r="A107" s="55"/>
      <c r="B107" s="55"/>
      <c r="C107" s="55"/>
      <c r="D107" s="55"/>
      <c r="E107" s="93" t="s">
        <v>276</v>
      </c>
      <c r="F107" s="94"/>
      <c r="G107" s="94"/>
      <c r="H107" s="94"/>
      <c r="I107" s="94"/>
      <c r="J107" s="94"/>
      <c r="K107" s="94"/>
      <c r="L107" s="94"/>
      <c r="M107" s="94"/>
      <c r="N107" s="94"/>
      <c r="O107" s="94"/>
      <c r="P107" s="94"/>
      <c r="Q107" s="94"/>
      <c r="R107" s="94"/>
      <c r="S107" s="94"/>
      <c r="T107" s="95"/>
    </row>
    <row r="108" spans="1:20" s="45" customFormat="1" ht="15" customHeight="1">
      <c r="A108" s="55"/>
      <c r="B108" s="55"/>
      <c r="C108" s="55"/>
      <c r="D108" s="55"/>
      <c r="E108" s="46" t="s">
        <v>5</v>
      </c>
      <c r="F108" s="30" t="s">
        <v>6</v>
      </c>
      <c r="G108" s="30" t="s">
        <v>7</v>
      </c>
      <c r="H108" s="30" t="s">
        <v>6</v>
      </c>
      <c r="I108" s="30" t="s">
        <v>8</v>
      </c>
      <c r="J108" s="30" t="s">
        <v>6</v>
      </c>
      <c r="K108" s="30" t="s">
        <v>9</v>
      </c>
      <c r="L108" s="30" t="s">
        <v>6</v>
      </c>
      <c r="M108" s="30" t="s">
        <v>10</v>
      </c>
      <c r="N108" s="30" t="s">
        <v>6</v>
      </c>
      <c r="O108" s="30" t="s">
        <v>11</v>
      </c>
      <c r="P108" s="30" t="s">
        <v>6</v>
      </c>
      <c r="Q108" s="30" t="s">
        <v>12</v>
      </c>
      <c r="R108" s="30" t="s">
        <v>6</v>
      </c>
      <c r="S108" s="30" t="s">
        <v>13</v>
      </c>
      <c r="T108" s="50" t="s">
        <v>6</v>
      </c>
    </row>
    <row r="109" spans="1:20" s="45" customFormat="1" ht="132">
      <c r="A109" s="51" t="s">
        <v>1503</v>
      </c>
      <c r="B109" s="56">
        <v>3</v>
      </c>
      <c r="C109" s="56">
        <v>6</v>
      </c>
      <c r="D109" s="57">
        <v>17</v>
      </c>
      <c r="E109" s="29" t="s">
        <v>1808</v>
      </c>
      <c r="F109" s="26"/>
      <c r="G109" s="29" t="s">
        <v>1809</v>
      </c>
      <c r="H109" s="36" t="s">
        <v>1810</v>
      </c>
      <c r="I109" s="29" t="s">
        <v>1789</v>
      </c>
      <c r="J109" s="26"/>
      <c r="K109" s="29" t="s">
        <v>1811</v>
      </c>
      <c r="L109" s="26" t="s">
        <v>1791</v>
      </c>
      <c r="M109" s="29" t="s">
        <v>1812</v>
      </c>
      <c r="N109" s="26"/>
      <c r="O109" s="29" t="s">
        <v>1813</v>
      </c>
      <c r="P109" s="26"/>
      <c r="Q109" s="29" t="s">
        <v>1814</v>
      </c>
      <c r="R109" s="26"/>
      <c r="S109" s="29"/>
      <c r="T109" s="50"/>
    </row>
    <row r="110" spans="1:20" s="45" customFormat="1" ht="15" customHeight="1">
      <c r="A110" s="55"/>
      <c r="B110" s="55"/>
      <c r="C110" s="55"/>
      <c r="D110" s="55"/>
      <c r="E110" s="93" t="s">
        <v>276</v>
      </c>
      <c r="F110" s="94"/>
      <c r="G110" s="94"/>
      <c r="H110" s="94"/>
      <c r="I110" s="94"/>
      <c r="J110" s="94"/>
      <c r="K110" s="94"/>
      <c r="L110" s="94"/>
      <c r="M110" s="94"/>
      <c r="N110" s="94"/>
      <c r="O110" s="94"/>
      <c r="P110" s="94"/>
      <c r="Q110" s="94"/>
      <c r="R110" s="94"/>
      <c r="S110" s="94"/>
      <c r="T110" s="95"/>
    </row>
    <row r="111" spans="1:20" s="45" customFormat="1" ht="15" customHeight="1">
      <c r="A111" s="55"/>
      <c r="B111" s="55"/>
      <c r="C111" s="55"/>
      <c r="D111" s="55"/>
      <c r="E111" s="46" t="s">
        <v>5</v>
      </c>
      <c r="F111" s="30" t="s">
        <v>6</v>
      </c>
      <c r="G111" s="30" t="s">
        <v>7</v>
      </c>
      <c r="H111" s="30" t="s">
        <v>6</v>
      </c>
      <c r="I111" s="30" t="s">
        <v>8</v>
      </c>
      <c r="J111" s="30" t="s">
        <v>6</v>
      </c>
      <c r="K111" s="30" t="s">
        <v>9</v>
      </c>
      <c r="L111" s="30" t="s">
        <v>6</v>
      </c>
      <c r="M111" s="30" t="s">
        <v>10</v>
      </c>
      <c r="N111" s="30" t="s">
        <v>6</v>
      </c>
      <c r="O111" s="30" t="s">
        <v>11</v>
      </c>
      <c r="P111" s="30" t="s">
        <v>6</v>
      </c>
      <c r="Q111" s="30" t="s">
        <v>12</v>
      </c>
      <c r="R111" s="30" t="s">
        <v>6</v>
      </c>
      <c r="S111" s="30" t="s">
        <v>13</v>
      </c>
      <c r="T111" s="50" t="s">
        <v>6</v>
      </c>
    </row>
    <row r="112" spans="1:20" s="45" customFormat="1" ht="158.44999999999999">
      <c r="A112" s="51" t="s">
        <v>1503</v>
      </c>
      <c r="B112" s="56">
        <v>3</v>
      </c>
      <c r="C112" s="56">
        <v>6</v>
      </c>
      <c r="D112" s="57">
        <v>20</v>
      </c>
      <c r="E112" s="29" t="s">
        <v>1815</v>
      </c>
      <c r="F112" s="26"/>
      <c r="G112" s="29" t="s">
        <v>295</v>
      </c>
      <c r="H112" s="26"/>
      <c r="I112" s="29" t="s">
        <v>1789</v>
      </c>
      <c r="J112" s="26"/>
      <c r="K112" s="29" t="s">
        <v>1816</v>
      </c>
      <c r="L112" s="26" t="s">
        <v>1791</v>
      </c>
      <c r="M112" s="29" t="s">
        <v>1817</v>
      </c>
      <c r="N112" s="26"/>
      <c r="O112" s="29" t="s">
        <v>1818</v>
      </c>
      <c r="P112" s="26"/>
      <c r="Q112" s="29" t="s">
        <v>1819</v>
      </c>
      <c r="R112" s="26"/>
      <c r="S112" s="29"/>
      <c r="T112" s="50"/>
    </row>
    <row r="113" spans="1:20" s="45" customFormat="1" ht="15" customHeight="1">
      <c r="A113" s="55"/>
      <c r="B113" s="55"/>
      <c r="C113" s="55"/>
      <c r="D113" s="55"/>
      <c r="E113" s="93" t="s">
        <v>276</v>
      </c>
      <c r="F113" s="94"/>
      <c r="G113" s="94"/>
      <c r="H113" s="94"/>
      <c r="I113" s="94"/>
      <c r="J113" s="94"/>
      <c r="K113" s="94"/>
      <c r="L113" s="94"/>
      <c r="M113" s="94"/>
      <c r="N113" s="94"/>
      <c r="O113" s="94"/>
      <c r="P113" s="94"/>
      <c r="Q113" s="94"/>
      <c r="R113" s="94"/>
      <c r="S113" s="94"/>
      <c r="T113" s="95"/>
    </row>
    <row r="114" spans="1:20" s="45" customFormat="1" ht="15" customHeight="1">
      <c r="A114" s="55"/>
      <c r="B114" s="55"/>
      <c r="C114" s="55"/>
      <c r="D114" s="55"/>
      <c r="E114" s="46" t="s">
        <v>5</v>
      </c>
      <c r="F114" s="30" t="s">
        <v>6</v>
      </c>
      <c r="G114" s="30" t="s">
        <v>7</v>
      </c>
      <c r="H114" s="30" t="s">
        <v>6</v>
      </c>
      <c r="I114" s="30" t="s">
        <v>8</v>
      </c>
      <c r="J114" s="30" t="s">
        <v>6</v>
      </c>
      <c r="K114" s="30" t="s">
        <v>9</v>
      </c>
      <c r="L114" s="30" t="s">
        <v>6</v>
      </c>
      <c r="M114" s="30" t="s">
        <v>10</v>
      </c>
      <c r="N114" s="30" t="s">
        <v>6</v>
      </c>
      <c r="O114" s="30" t="s">
        <v>11</v>
      </c>
      <c r="P114" s="30" t="s">
        <v>6</v>
      </c>
      <c r="Q114" s="30" t="s">
        <v>12</v>
      </c>
      <c r="R114" s="30" t="s">
        <v>6</v>
      </c>
      <c r="S114" s="30" t="s">
        <v>13</v>
      </c>
      <c r="T114" s="50" t="s">
        <v>6</v>
      </c>
    </row>
    <row r="115" spans="1:20" s="45" customFormat="1" ht="277.14999999999998">
      <c r="A115" s="51" t="s">
        <v>1503</v>
      </c>
      <c r="B115" s="56">
        <v>3</v>
      </c>
      <c r="C115" s="56">
        <v>6</v>
      </c>
      <c r="D115" s="57">
        <v>26</v>
      </c>
      <c r="E115" s="29" t="s">
        <v>1820</v>
      </c>
      <c r="F115" s="26"/>
      <c r="G115" s="29" t="s">
        <v>1821</v>
      </c>
      <c r="H115" s="26"/>
      <c r="I115" s="29" t="s">
        <v>1822</v>
      </c>
      <c r="J115" s="26"/>
      <c r="K115" s="29" t="s">
        <v>1823</v>
      </c>
      <c r="L115" s="26" t="s">
        <v>1798</v>
      </c>
      <c r="M115" s="29" t="s">
        <v>1824</v>
      </c>
      <c r="N115" s="26"/>
      <c r="O115" s="29" t="s">
        <v>1825</v>
      </c>
      <c r="P115" s="26"/>
      <c r="Q115" s="29" t="s">
        <v>1826</v>
      </c>
      <c r="R115" s="26" t="s">
        <v>1827</v>
      </c>
      <c r="S115" s="29" t="s">
        <v>1828</v>
      </c>
      <c r="T115" s="50"/>
    </row>
    <row r="116" spans="1:20" s="45" customFormat="1" ht="15" customHeight="1">
      <c r="A116" s="55"/>
      <c r="B116" s="55"/>
      <c r="C116" s="55"/>
      <c r="D116" s="55"/>
      <c r="E116" s="93" t="s">
        <v>276</v>
      </c>
      <c r="F116" s="94"/>
      <c r="G116" s="94"/>
      <c r="H116" s="94"/>
      <c r="I116" s="94"/>
      <c r="J116" s="94"/>
      <c r="K116" s="94"/>
      <c r="L116" s="94"/>
      <c r="M116" s="94"/>
      <c r="N116" s="94"/>
      <c r="O116" s="94"/>
      <c r="P116" s="94"/>
      <c r="Q116" s="94"/>
      <c r="R116" s="94"/>
      <c r="S116" s="94"/>
      <c r="T116" s="95"/>
    </row>
    <row r="117" spans="1:20" s="45" customFormat="1" ht="15" customHeight="1">
      <c r="A117" s="55"/>
      <c r="B117" s="55"/>
      <c r="C117" s="55"/>
      <c r="D117" s="55"/>
      <c r="E117" s="46" t="s">
        <v>5</v>
      </c>
      <c r="F117" s="30" t="s">
        <v>6</v>
      </c>
      <c r="G117" s="30" t="s">
        <v>7</v>
      </c>
      <c r="H117" s="30" t="s">
        <v>6</v>
      </c>
      <c r="I117" s="30" t="s">
        <v>8</v>
      </c>
      <c r="J117" s="30" t="s">
        <v>6</v>
      </c>
      <c r="K117" s="30" t="s">
        <v>9</v>
      </c>
      <c r="L117" s="30" t="s">
        <v>6</v>
      </c>
      <c r="M117" s="30" t="s">
        <v>10</v>
      </c>
      <c r="N117" s="30" t="s">
        <v>6</v>
      </c>
      <c r="O117" s="30" t="s">
        <v>11</v>
      </c>
      <c r="P117" s="30" t="s">
        <v>6</v>
      </c>
      <c r="Q117" s="30" t="s">
        <v>12</v>
      </c>
      <c r="R117" s="30" t="s">
        <v>6</v>
      </c>
      <c r="S117" s="30" t="s">
        <v>13</v>
      </c>
      <c r="T117" s="50" t="s">
        <v>6</v>
      </c>
    </row>
    <row r="118" spans="1:20" s="45" customFormat="1" ht="211.15">
      <c r="A118" s="51" t="s">
        <v>1503</v>
      </c>
      <c r="B118" s="56">
        <v>3</v>
      </c>
      <c r="C118" s="56">
        <v>6</v>
      </c>
      <c r="D118" s="57">
        <v>27</v>
      </c>
      <c r="E118" s="29" t="s">
        <v>1829</v>
      </c>
      <c r="F118" s="26"/>
      <c r="G118" s="29" t="s">
        <v>295</v>
      </c>
      <c r="H118" s="26"/>
      <c r="I118" s="29" t="s">
        <v>1789</v>
      </c>
      <c r="J118" s="26"/>
      <c r="K118" s="29" t="s">
        <v>1830</v>
      </c>
      <c r="L118" s="26" t="s">
        <v>1798</v>
      </c>
      <c r="M118" s="29" t="s">
        <v>1831</v>
      </c>
      <c r="N118" s="26"/>
      <c r="O118" s="29" t="s">
        <v>1832</v>
      </c>
      <c r="P118" s="26"/>
      <c r="Q118" s="29" t="s">
        <v>1833</v>
      </c>
      <c r="R118" s="26" t="s">
        <v>1834</v>
      </c>
      <c r="S118" s="29" t="s">
        <v>1835</v>
      </c>
      <c r="T118" s="50"/>
    </row>
    <row r="119" spans="1:20" s="45" customFormat="1" ht="15" customHeight="1">
      <c r="A119" s="55"/>
      <c r="B119" s="55"/>
      <c r="C119" s="55"/>
      <c r="D119" s="55"/>
      <c r="E119" s="93" t="s">
        <v>326</v>
      </c>
      <c r="F119" s="94"/>
      <c r="G119" s="94"/>
      <c r="H119" s="94"/>
      <c r="I119" s="94"/>
      <c r="J119" s="94"/>
      <c r="K119" s="94"/>
      <c r="L119" s="94"/>
      <c r="M119" s="94"/>
      <c r="N119" s="94"/>
      <c r="O119" s="94"/>
      <c r="P119" s="94"/>
      <c r="Q119" s="94"/>
      <c r="R119" s="94"/>
      <c r="S119" s="94"/>
      <c r="T119" s="95"/>
    </row>
    <row r="120" spans="1:20" s="45" customFormat="1" ht="15" customHeight="1">
      <c r="A120" s="55"/>
      <c r="B120" s="55"/>
      <c r="C120" s="55"/>
      <c r="D120" s="55"/>
      <c r="E120" s="46" t="s">
        <v>5</v>
      </c>
      <c r="F120" s="30" t="s">
        <v>6</v>
      </c>
      <c r="G120" s="30" t="s">
        <v>7</v>
      </c>
      <c r="H120" s="30" t="s">
        <v>6</v>
      </c>
      <c r="I120" s="30" t="s">
        <v>8</v>
      </c>
      <c r="J120" s="30" t="s">
        <v>6</v>
      </c>
      <c r="K120" s="30" t="s">
        <v>9</v>
      </c>
      <c r="L120" s="30" t="s">
        <v>6</v>
      </c>
      <c r="M120" s="30" t="s">
        <v>10</v>
      </c>
      <c r="N120" s="30" t="s">
        <v>6</v>
      </c>
      <c r="O120" s="30" t="s">
        <v>11</v>
      </c>
      <c r="P120" s="30" t="s">
        <v>6</v>
      </c>
      <c r="Q120" s="30" t="s">
        <v>12</v>
      </c>
      <c r="R120" s="30" t="s">
        <v>6</v>
      </c>
      <c r="S120" s="30" t="s">
        <v>13</v>
      </c>
      <c r="T120" s="50" t="s">
        <v>6</v>
      </c>
    </row>
    <row r="121" spans="1:20" s="45" customFormat="1" ht="224.45">
      <c r="A121" s="51" t="s">
        <v>1503</v>
      </c>
      <c r="B121" s="56">
        <v>3</v>
      </c>
      <c r="C121" s="56">
        <v>7</v>
      </c>
      <c r="D121" s="57">
        <v>3</v>
      </c>
      <c r="E121" s="29" t="s">
        <v>1836</v>
      </c>
      <c r="F121" s="26" t="s">
        <v>19</v>
      </c>
      <c r="G121" s="29" t="s">
        <v>1837</v>
      </c>
      <c r="H121" s="36" t="s">
        <v>1838</v>
      </c>
      <c r="I121" s="29" t="s">
        <v>1839</v>
      </c>
      <c r="J121" s="26" t="s">
        <v>19</v>
      </c>
      <c r="K121" s="29" t="s">
        <v>1840</v>
      </c>
      <c r="L121" s="36" t="s">
        <v>1841</v>
      </c>
      <c r="M121" s="29" t="s">
        <v>1842</v>
      </c>
      <c r="N121" s="26" t="s">
        <v>19</v>
      </c>
      <c r="O121" s="29" t="s">
        <v>1843</v>
      </c>
      <c r="P121" s="26" t="s">
        <v>19</v>
      </c>
      <c r="Q121" s="29" t="s">
        <v>1844</v>
      </c>
      <c r="R121" s="34" t="s">
        <v>1845</v>
      </c>
      <c r="S121" s="29" t="s">
        <v>1846</v>
      </c>
      <c r="T121" s="50"/>
    </row>
    <row r="122" spans="1:20" s="45" customFormat="1" ht="15" customHeight="1">
      <c r="A122" s="55"/>
      <c r="B122" s="55"/>
      <c r="C122" s="55"/>
      <c r="D122" s="55"/>
      <c r="E122" s="93" t="s">
        <v>326</v>
      </c>
      <c r="F122" s="94"/>
      <c r="G122" s="94"/>
      <c r="H122" s="94"/>
      <c r="I122" s="94"/>
      <c r="J122" s="94"/>
      <c r="K122" s="94"/>
      <c r="L122" s="94"/>
      <c r="M122" s="94"/>
      <c r="N122" s="94"/>
      <c r="O122" s="94"/>
      <c r="P122" s="94"/>
      <c r="Q122" s="94"/>
      <c r="R122" s="94"/>
      <c r="S122" s="94"/>
      <c r="T122" s="95"/>
    </row>
    <row r="123" spans="1:20" s="45" customFormat="1" ht="15" customHeight="1">
      <c r="A123" s="55"/>
      <c r="B123" s="55"/>
      <c r="C123" s="55"/>
      <c r="D123" s="55"/>
      <c r="E123" s="46" t="s">
        <v>5</v>
      </c>
      <c r="F123" s="30" t="s">
        <v>6</v>
      </c>
      <c r="G123" s="30" t="s">
        <v>7</v>
      </c>
      <c r="H123" s="30" t="s">
        <v>6</v>
      </c>
      <c r="I123" s="30" t="s">
        <v>8</v>
      </c>
      <c r="J123" s="30" t="s">
        <v>6</v>
      </c>
      <c r="K123" s="30" t="s">
        <v>9</v>
      </c>
      <c r="L123" s="30" t="s">
        <v>6</v>
      </c>
      <c r="M123" s="30" t="s">
        <v>10</v>
      </c>
      <c r="N123" s="30" t="s">
        <v>6</v>
      </c>
      <c r="O123" s="30" t="s">
        <v>11</v>
      </c>
      <c r="P123" s="30" t="s">
        <v>6</v>
      </c>
      <c r="Q123" s="30" t="s">
        <v>12</v>
      </c>
      <c r="R123" s="30" t="s">
        <v>6</v>
      </c>
      <c r="S123" s="30" t="s">
        <v>13</v>
      </c>
      <c r="T123" s="50" t="s">
        <v>6</v>
      </c>
    </row>
    <row r="124" spans="1:20" s="45" customFormat="1" ht="158.44999999999999">
      <c r="A124" s="51" t="s">
        <v>1503</v>
      </c>
      <c r="B124" s="56">
        <v>3</v>
      </c>
      <c r="C124" s="56">
        <v>7</v>
      </c>
      <c r="D124" s="57">
        <v>5</v>
      </c>
      <c r="E124" s="29" t="s">
        <v>1847</v>
      </c>
      <c r="F124" s="26" t="s">
        <v>19</v>
      </c>
      <c r="G124" s="29" t="s">
        <v>1848</v>
      </c>
      <c r="H124" s="36" t="s">
        <v>1849</v>
      </c>
      <c r="I124" s="29" t="s">
        <v>1850</v>
      </c>
      <c r="J124" s="26" t="s">
        <v>19</v>
      </c>
      <c r="K124" s="29" t="s">
        <v>1851</v>
      </c>
      <c r="L124" s="36" t="s">
        <v>1852</v>
      </c>
      <c r="M124" s="29" t="s">
        <v>1853</v>
      </c>
      <c r="N124" s="26" t="s">
        <v>19</v>
      </c>
      <c r="O124" s="29" t="s">
        <v>1854</v>
      </c>
      <c r="P124" s="26" t="s">
        <v>19</v>
      </c>
      <c r="Q124" s="29" t="s">
        <v>1855</v>
      </c>
      <c r="R124" s="34" t="s">
        <v>1856</v>
      </c>
      <c r="S124" s="29"/>
      <c r="T124" s="50"/>
    </row>
    <row r="125" spans="1:20" s="45" customFormat="1" ht="15" customHeight="1">
      <c r="A125" s="55"/>
      <c r="B125" s="55"/>
      <c r="C125" s="55"/>
      <c r="D125" s="55"/>
      <c r="E125" s="93" t="s">
        <v>326</v>
      </c>
      <c r="F125" s="94"/>
      <c r="G125" s="94"/>
      <c r="H125" s="94"/>
      <c r="I125" s="94"/>
      <c r="J125" s="94"/>
      <c r="K125" s="94"/>
      <c r="L125" s="94"/>
      <c r="M125" s="94"/>
      <c r="N125" s="94"/>
      <c r="O125" s="94"/>
      <c r="P125" s="94"/>
      <c r="Q125" s="94"/>
      <c r="R125" s="94"/>
      <c r="S125" s="94"/>
      <c r="T125" s="95"/>
    </row>
    <row r="126" spans="1:20" s="45" customFormat="1" ht="15" customHeight="1">
      <c r="A126" s="55"/>
      <c r="B126" s="55"/>
      <c r="C126" s="55"/>
      <c r="D126" s="55"/>
      <c r="E126" s="46" t="s">
        <v>5</v>
      </c>
      <c r="F126" s="30" t="s">
        <v>6</v>
      </c>
      <c r="G126" s="30" t="s">
        <v>7</v>
      </c>
      <c r="H126" s="30" t="s">
        <v>6</v>
      </c>
      <c r="I126" s="30" t="s">
        <v>8</v>
      </c>
      <c r="J126" s="30" t="s">
        <v>6</v>
      </c>
      <c r="K126" s="30" t="s">
        <v>9</v>
      </c>
      <c r="L126" s="30" t="s">
        <v>6</v>
      </c>
      <c r="M126" s="30" t="s">
        <v>10</v>
      </c>
      <c r="N126" s="30" t="s">
        <v>6</v>
      </c>
      <c r="O126" s="30" t="s">
        <v>11</v>
      </c>
      <c r="P126" s="30" t="s">
        <v>6</v>
      </c>
      <c r="Q126" s="30" t="s">
        <v>12</v>
      </c>
      <c r="R126" s="30" t="s">
        <v>6</v>
      </c>
      <c r="S126" s="30" t="s">
        <v>13</v>
      </c>
      <c r="T126" s="50" t="s">
        <v>6</v>
      </c>
    </row>
    <row r="127" spans="1:20" s="45" customFormat="1" ht="198">
      <c r="A127" s="51" t="s">
        <v>1503</v>
      </c>
      <c r="B127" s="56">
        <v>3</v>
      </c>
      <c r="C127" s="56">
        <v>7</v>
      </c>
      <c r="D127" s="57">
        <v>13</v>
      </c>
      <c r="E127" s="29" t="s">
        <v>1857</v>
      </c>
      <c r="F127" s="26" t="s">
        <v>19</v>
      </c>
      <c r="G127" s="29" t="s">
        <v>1858</v>
      </c>
      <c r="H127" s="36" t="s">
        <v>1859</v>
      </c>
      <c r="I127" s="29" t="s">
        <v>1860</v>
      </c>
      <c r="J127" s="26" t="s">
        <v>19</v>
      </c>
      <c r="K127" s="29" t="s">
        <v>1861</v>
      </c>
      <c r="L127" s="36" t="s">
        <v>1862</v>
      </c>
      <c r="M127" s="29" t="s">
        <v>1863</v>
      </c>
      <c r="N127" s="36" t="s">
        <v>1864</v>
      </c>
      <c r="O127" s="29" t="s">
        <v>1865</v>
      </c>
      <c r="P127" s="26" t="s">
        <v>19</v>
      </c>
      <c r="Q127" s="29" t="s">
        <v>1866</v>
      </c>
      <c r="R127" s="34" t="s">
        <v>1867</v>
      </c>
      <c r="S127" s="29" t="s">
        <v>1868</v>
      </c>
      <c r="T127" s="50"/>
    </row>
    <row r="128" spans="1:20" s="45" customFormat="1" ht="15" customHeight="1">
      <c r="A128" s="55"/>
      <c r="B128" s="55"/>
      <c r="C128" s="55"/>
      <c r="D128" s="55"/>
      <c r="E128" s="93" t="s">
        <v>326</v>
      </c>
      <c r="F128" s="94"/>
      <c r="G128" s="94"/>
      <c r="H128" s="94"/>
      <c r="I128" s="94"/>
      <c r="J128" s="94"/>
      <c r="K128" s="94"/>
      <c r="L128" s="94"/>
      <c r="M128" s="94"/>
      <c r="N128" s="94"/>
      <c r="O128" s="94"/>
      <c r="P128" s="94"/>
      <c r="Q128" s="94"/>
      <c r="R128" s="94"/>
      <c r="S128" s="94"/>
      <c r="T128" s="95"/>
    </row>
    <row r="129" spans="1:20" s="45" customFormat="1" ht="15" customHeight="1">
      <c r="A129" s="55"/>
      <c r="B129" s="55"/>
      <c r="C129" s="55"/>
      <c r="D129" s="55"/>
      <c r="E129" s="46" t="s">
        <v>5</v>
      </c>
      <c r="F129" s="30" t="s">
        <v>6</v>
      </c>
      <c r="G129" s="30" t="s">
        <v>7</v>
      </c>
      <c r="H129" s="30" t="s">
        <v>6</v>
      </c>
      <c r="I129" s="30" t="s">
        <v>8</v>
      </c>
      <c r="J129" s="30" t="s">
        <v>6</v>
      </c>
      <c r="K129" s="30" t="s">
        <v>9</v>
      </c>
      <c r="L129" s="30" t="s">
        <v>6</v>
      </c>
      <c r="M129" s="30" t="s">
        <v>10</v>
      </c>
      <c r="N129" s="30" t="s">
        <v>6</v>
      </c>
      <c r="O129" s="30" t="s">
        <v>11</v>
      </c>
      <c r="P129" s="30" t="s">
        <v>6</v>
      </c>
      <c r="Q129" s="30" t="s">
        <v>12</v>
      </c>
      <c r="R129" s="30" t="s">
        <v>6</v>
      </c>
      <c r="S129" s="30" t="s">
        <v>13</v>
      </c>
      <c r="T129" s="50" t="s">
        <v>6</v>
      </c>
    </row>
    <row r="130" spans="1:20" s="45" customFormat="1" ht="211.15">
      <c r="A130" s="51" t="s">
        <v>1503</v>
      </c>
      <c r="B130" s="56">
        <v>3</v>
      </c>
      <c r="C130" s="56">
        <v>7</v>
      </c>
      <c r="D130" s="57">
        <v>18</v>
      </c>
      <c r="E130" s="29" t="s">
        <v>1869</v>
      </c>
      <c r="F130" s="26" t="s">
        <v>19</v>
      </c>
      <c r="G130" s="29" t="s">
        <v>1870</v>
      </c>
      <c r="H130" s="36" t="s">
        <v>1871</v>
      </c>
      <c r="I130" s="29" t="s">
        <v>1872</v>
      </c>
      <c r="J130" s="26" t="s">
        <v>19</v>
      </c>
      <c r="K130" s="29" t="s">
        <v>1873</v>
      </c>
      <c r="L130" s="26" t="s">
        <v>19</v>
      </c>
      <c r="M130" s="29" t="s">
        <v>1874</v>
      </c>
      <c r="N130" s="26" t="s">
        <v>19</v>
      </c>
      <c r="O130" s="29" t="s">
        <v>1875</v>
      </c>
      <c r="P130" s="26" t="s">
        <v>19</v>
      </c>
      <c r="Q130" s="29" t="s">
        <v>1876</v>
      </c>
      <c r="R130" s="34" t="s">
        <v>1877</v>
      </c>
      <c r="S130" s="29"/>
      <c r="T130" s="50"/>
    </row>
    <row r="131" spans="1:20" s="45" customFormat="1" ht="15" customHeight="1">
      <c r="A131" s="55"/>
      <c r="B131" s="55"/>
      <c r="C131" s="55"/>
      <c r="D131" s="55"/>
      <c r="E131" s="93" t="s">
        <v>326</v>
      </c>
      <c r="F131" s="94"/>
      <c r="G131" s="94"/>
      <c r="H131" s="94"/>
      <c r="I131" s="94"/>
      <c r="J131" s="94"/>
      <c r="K131" s="94"/>
      <c r="L131" s="94"/>
      <c r="M131" s="94"/>
      <c r="N131" s="94"/>
      <c r="O131" s="94"/>
      <c r="P131" s="94"/>
      <c r="Q131" s="94"/>
      <c r="R131" s="94"/>
      <c r="S131" s="94"/>
      <c r="T131" s="95"/>
    </row>
    <row r="132" spans="1:20" s="45" customFormat="1" ht="15" customHeight="1">
      <c r="A132" s="55"/>
      <c r="B132" s="55"/>
      <c r="C132" s="55"/>
      <c r="D132" s="55"/>
      <c r="E132" s="46" t="s">
        <v>5</v>
      </c>
      <c r="F132" s="30" t="s">
        <v>6</v>
      </c>
      <c r="G132" s="30" t="s">
        <v>7</v>
      </c>
      <c r="H132" s="30" t="s">
        <v>6</v>
      </c>
      <c r="I132" s="30" t="s">
        <v>8</v>
      </c>
      <c r="J132" s="30" t="s">
        <v>6</v>
      </c>
      <c r="K132" s="30" t="s">
        <v>9</v>
      </c>
      <c r="L132" s="30" t="s">
        <v>6</v>
      </c>
      <c r="M132" s="30" t="s">
        <v>10</v>
      </c>
      <c r="N132" s="30" t="s">
        <v>6</v>
      </c>
      <c r="O132" s="30" t="s">
        <v>11</v>
      </c>
      <c r="P132" s="30" t="s">
        <v>6</v>
      </c>
      <c r="Q132" s="30" t="s">
        <v>12</v>
      </c>
      <c r="R132" s="30" t="s">
        <v>6</v>
      </c>
      <c r="S132" s="30" t="s">
        <v>13</v>
      </c>
      <c r="T132" s="50" t="s">
        <v>6</v>
      </c>
    </row>
    <row r="133" spans="1:20" s="45" customFormat="1" ht="224.45">
      <c r="A133" s="51" t="s">
        <v>1503</v>
      </c>
      <c r="B133" s="56">
        <v>3</v>
      </c>
      <c r="C133" s="56">
        <v>7</v>
      </c>
      <c r="D133" s="57">
        <v>21</v>
      </c>
      <c r="E133" s="29" t="s">
        <v>1878</v>
      </c>
      <c r="F133" s="26" t="s">
        <v>19</v>
      </c>
      <c r="G133" s="29" t="s">
        <v>1879</v>
      </c>
      <c r="H133" s="36" t="s">
        <v>1880</v>
      </c>
      <c r="I133" s="29" t="s">
        <v>1881</v>
      </c>
      <c r="J133" s="26" t="s">
        <v>19</v>
      </c>
      <c r="K133" s="29" t="s">
        <v>1882</v>
      </c>
      <c r="L133" s="26" t="s">
        <v>19</v>
      </c>
      <c r="M133" s="29" t="s">
        <v>1883</v>
      </c>
      <c r="N133" s="26" t="s">
        <v>19</v>
      </c>
      <c r="O133" s="29" t="s">
        <v>1884</v>
      </c>
      <c r="P133" s="26" t="s">
        <v>19</v>
      </c>
      <c r="Q133" s="29" t="s">
        <v>1885</v>
      </c>
      <c r="R133" s="34" t="s">
        <v>1886</v>
      </c>
      <c r="S133" s="29"/>
      <c r="T133" s="50"/>
    </row>
    <row r="134" spans="1:20" s="45" customFormat="1" ht="15" customHeight="1">
      <c r="A134" s="55"/>
      <c r="B134" s="55"/>
      <c r="C134" s="55"/>
      <c r="D134" s="55"/>
      <c r="E134" s="93" t="s">
        <v>326</v>
      </c>
      <c r="F134" s="94"/>
      <c r="G134" s="94"/>
      <c r="H134" s="94"/>
      <c r="I134" s="94"/>
      <c r="J134" s="94"/>
      <c r="K134" s="94"/>
      <c r="L134" s="94"/>
      <c r="M134" s="94"/>
      <c r="N134" s="94"/>
      <c r="O134" s="94"/>
      <c r="P134" s="94"/>
      <c r="Q134" s="94"/>
      <c r="R134" s="94"/>
      <c r="S134" s="94"/>
      <c r="T134" s="95"/>
    </row>
    <row r="135" spans="1:20" s="45" customFormat="1" ht="15" customHeight="1">
      <c r="A135" s="55"/>
      <c r="B135" s="55"/>
      <c r="C135" s="55"/>
      <c r="D135" s="55"/>
      <c r="E135" s="46" t="s">
        <v>5</v>
      </c>
      <c r="F135" s="30" t="s">
        <v>6</v>
      </c>
      <c r="G135" s="30" t="s">
        <v>7</v>
      </c>
      <c r="H135" s="30" t="s">
        <v>6</v>
      </c>
      <c r="I135" s="30" t="s">
        <v>8</v>
      </c>
      <c r="J135" s="30" t="s">
        <v>6</v>
      </c>
      <c r="K135" s="30" t="s">
        <v>9</v>
      </c>
      <c r="L135" s="30" t="s">
        <v>6</v>
      </c>
      <c r="M135" s="30" t="s">
        <v>10</v>
      </c>
      <c r="N135" s="30" t="s">
        <v>6</v>
      </c>
      <c r="O135" s="30" t="s">
        <v>11</v>
      </c>
      <c r="P135" s="30" t="s">
        <v>6</v>
      </c>
      <c r="Q135" s="30" t="s">
        <v>12</v>
      </c>
      <c r="R135" s="30" t="s">
        <v>6</v>
      </c>
      <c r="S135" s="30" t="s">
        <v>13</v>
      </c>
      <c r="T135" s="50" t="s">
        <v>6</v>
      </c>
    </row>
    <row r="136" spans="1:20" s="45" customFormat="1" ht="277.14999999999998">
      <c r="A136" s="51" t="s">
        <v>1503</v>
      </c>
      <c r="B136" s="56">
        <v>3</v>
      </c>
      <c r="C136" s="56">
        <v>7</v>
      </c>
      <c r="D136" s="57">
        <v>23</v>
      </c>
      <c r="E136" s="29" t="s">
        <v>1887</v>
      </c>
      <c r="F136" s="26" t="s">
        <v>19</v>
      </c>
      <c r="G136" s="29" t="s">
        <v>1888</v>
      </c>
      <c r="H136" s="36" t="s">
        <v>1889</v>
      </c>
      <c r="I136" s="29" t="s">
        <v>340</v>
      </c>
      <c r="J136" s="26" t="s">
        <v>19</v>
      </c>
      <c r="K136" s="29" t="s">
        <v>1890</v>
      </c>
      <c r="L136" s="36" t="s">
        <v>1891</v>
      </c>
      <c r="M136" s="29" t="s">
        <v>1892</v>
      </c>
      <c r="N136" s="26" t="s">
        <v>19</v>
      </c>
      <c r="O136" s="29" t="s">
        <v>1893</v>
      </c>
      <c r="P136" s="36" t="s">
        <v>1894</v>
      </c>
      <c r="Q136" s="29" t="s">
        <v>1895</v>
      </c>
      <c r="R136" s="34" t="s">
        <v>1896</v>
      </c>
      <c r="S136" s="29" t="s">
        <v>1897</v>
      </c>
      <c r="T136" s="50"/>
    </row>
    <row r="137" spans="1:20" s="45" customFormat="1" ht="15" customHeight="1">
      <c r="A137" s="55"/>
      <c r="B137" s="55"/>
      <c r="C137" s="55"/>
      <c r="D137" s="55"/>
      <c r="E137" s="93" t="s">
        <v>326</v>
      </c>
      <c r="F137" s="94"/>
      <c r="G137" s="94"/>
      <c r="H137" s="94"/>
      <c r="I137" s="94"/>
      <c r="J137" s="94"/>
      <c r="K137" s="94"/>
      <c r="L137" s="94"/>
      <c r="M137" s="94"/>
      <c r="N137" s="94"/>
      <c r="O137" s="94"/>
      <c r="P137" s="94"/>
      <c r="Q137" s="94"/>
      <c r="R137" s="94"/>
      <c r="S137" s="94"/>
      <c r="T137" s="95"/>
    </row>
    <row r="138" spans="1:20" s="45" customFormat="1" ht="15" customHeight="1">
      <c r="A138" s="55"/>
      <c r="B138" s="55"/>
      <c r="C138" s="55"/>
      <c r="D138" s="55"/>
      <c r="E138" s="46" t="s">
        <v>5</v>
      </c>
      <c r="F138" s="30" t="s">
        <v>6</v>
      </c>
      <c r="G138" s="30" t="s">
        <v>7</v>
      </c>
      <c r="H138" s="30" t="s">
        <v>6</v>
      </c>
      <c r="I138" s="30" t="s">
        <v>8</v>
      </c>
      <c r="J138" s="30" t="s">
        <v>6</v>
      </c>
      <c r="K138" s="30" t="s">
        <v>9</v>
      </c>
      <c r="L138" s="30" t="s">
        <v>6</v>
      </c>
      <c r="M138" s="30" t="s">
        <v>10</v>
      </c>
      <c r="N138" s="30" t="s">
        <v>6</v>
      </c>
      <c r="O138" s="30" t="s">
        <v>11</v>
      </c>
      <c r="P138" s="30" t="s">
        <v>6</v>
      </c>
      <c r="Q138" s="30" t="s">
        <v>12</v>
      </c>
      <c r="R138" s="30" t="s">
        <v>6</v>
      </c>
      <c r="S138" s="30" t="s">
        <v>13</v>
      </c>
      <c r="T138" s="50" t="s">
        <v>6</v>
      </c>
    </row>
    <row r="139" spans="1:20" s="45" customFormat="1" ht="250.9">
      <c r="A139" s="51" t="s">
        <v>1503</v>
      </c>
      <c r="B139" s="56">
        <v>3</v>
      </c>
      <c r="C139" s="56">
        <v>7</v>
      </c>
      <c r="D139" s="57">
        <v>28</v>
      </c>
      <c r="E139" s="29" t="s">
        <v>1898</v>
      </c>
      <c r="F139" s="26" t="s">
        <v>19</v>
      </c>
      <c r="G139" s="29" t="s">
        <v>1899</v>
      </c>
      <c r="H139" s="36" t="s">
        <v>1900</v>
      </c>
      <c r="I139" s="29" t="s">
        <v>1901</v>
      </c>
      <c r="J139" s="26" t="s">
        <v>19</v>
      </c>
      <c r="K139" s="29" t="s">
        <v>1902</v>
      </c>
      <c r="L139" s="36" t="s">
        <v>1903</v>
      </c>
      <c r="M139" s="29" t="s">
        <v>1904</v>
      </c>
      <c r="N139" s="26" t="s">
        <v>19</v>
      </c>
      <c r="O139" s="29" t="s">
        <v>1905</v>
      </c>
      <c r="P139" s="26" t="s">
        <v>19</v>
      </c>
      <c r="Q139" s="29" t="s">
        <v>1906</v>
      </c>
      <c r="R139" s="34" t="s">
        <v>1907</v>
      </c>
      <c r="S139" s="29" t="s">
        <v>1908</v>
      </c>
      <c r="T139" s="50"/>
    </row>
    <row r="140" spans="1:20" s="45" customFormat="1" ht="15" customHeight="1">
      <c r="A140" s="55"/>
      <c r="B140" s="55"/>
      <c r="C140" s="55"/>
      <c r="D140" s="55"/>
      <c r="E140" s="93" t="s">
        <v>396</v>
      </c>
      <c r="F140" s="94"/>
      <c r="G140" s="94"/>
      <c r="H140" s="94"/>
      <c r="I140" s="94"/>
      <c r="J140" s="94"/>
      <c r="K140" s="94"/>
      <c r="L140" s="94"/>
      <c r="M140" s="94"/>
      <c r="N140" s="94"/>
      <c r="O140" s="94"/>
      <c r="P140" s="94"/>
      <c r="Q140" s="94"/>
      <c r="R140" s="94"/>
      <c r="S140" s="94"/>
      <c r="T140" s="95"/>
    </row>
    <row r="141" spans="1:20" s="45" customFormat="1" ht="15" customHeight="1">
      <c r="A141" s="55"/>
      <c r="B141" s="55"/>
      <c r="C141" s="55"/>
      <c r="D141" s="55"/>
      <c r="E141" s="46" t="s">
        <v>5</v>
      </c>
      <c r="F141" s="30" t="s">
        <v>6</v>
      </c>
      <c r="G141" s="30" t="s">
        <v>7</v>
      </c>
      <c r="H141" s="30" t="s">
        <v>6</v>
      </c>
      <c r="I141" s="30" t="s">
        <v>8</v>
      </c>
      <c r="J141" s="30" t="s">
        <v>6</v>
      </c>
      <c r="K141" s="30" t="s">
        <v>9</v>
      </c>
      <c r="L141" s="30" t="s">
        <v>6</v>
      </c>
      <c r="M141" s="30" t="s">
        <v>10</v>
      </c>
      <c r="N141" s="30" t="s">
        <v>6</v>
      </c>
      <c r="O141" s="30" t="s">
        <v>11</v>
      </c>
      <c r="P141" s="30" t="s">
        <v>6</v>
      </c>
      <c r="Q141" s="30" t="s">
        <v>12</v>
      </c>
      <c r="R141" s="30" t="s">
        <v>6</v>
      </c>
      <c r="S141" s="30" t="s">
        <v>13</v>
      </c>
      <c r="T141" s="50" t="s">
        <v>6</v>
      </c>
    </row>
    <row r="142" spans="1:20" s="45" customFormat="1" ht="226.5" customHeight="1">
      <c r="A142" s="51" t="s">
        <v>1503</v>
      </c>
      <c r="B142" s="56">
        <v>3</v>
      </c>
      <c r="C142" s="56">
        <v>8</v>
      </c>
      <c r="D142" s="57">
        <v>3</v>
      </c>
      <c r="E142" s="29" t="s">
        <v>1909</v>
      </c>
      <c r="F142" s="26" t="s">
        <v>19</v>
      </c>
      <c r="G142" s="29" t="s">
        <v>1910</v>
      </c>
      <c r="H142" s="36" t="s">
        <v>1911</v>
      </c>
      <c r="I142" s="29" t="s">
        <v>1912</v>
      </c>
      <c r="J142" s="26" t="s">
        <v>19</v>
      </c>
      <c r="K142" s="29" t="s">
        <v>1913</v>
      </c>
      <c r="L142" s="37" t="s">
        <v>1143</v>
      </c>
      <c r="M142" s="29" t="s">
        <v>1914</v>
      </c>
      <c r="N142" s="26" t="s">
        <v>19</v>
      </c>
      <c r="O142" s="29" t="s">
        <v>1915</v>
      </c>
      <c r="P142" s="34" t="s">
        <v>1916</v>
      </c>
      <c r="Q142" s="29" t="s">
        <v>1917</v>
      </c>
      <c r="R142" s="26" t="s">
        <v>1918</v>
      </c>
      <c r="S142" s="29"/>
      <c r="T142" s="50"/>
    </row>
    <row r="143" spans="1:20" s="45" customFormat="1" ht="15" customHeight="1">
      <c r="A143" s="55"/>
      <c r="B143" s="55"/>
      <c r="C143" s="55"/>
      <c r="D143" s="55"/>
      <c r="E143" s="93" t="s">
        <v>396</v>
      </c>
      <c r="F143" s="94"/>
      <c r="G143" s="94"/>
      <c r="H143" s="94"/>
      <c r="I143" s="94"/>
      <c r="J143" s="94"/>
      <c r="K143" s="94"/>
      <c r="L143" s="94"/>
      <c r="M143" s="94"/>
      <c r="N143" s="94"/>
      <c r="O143" s="94"/>
      <c r="P143" s="94"/>
      <c r="Q143" s="94"/>
      <c r="R143" s="94"/>
      <c r="S143" s="94"/>
      <c r="T143" s="95"/>
    </row>
    <row r="144" spans="1:20" s="45" customFormat="1" ht="15" customHeight="1">
      <c r="A144" s="55"/>
      <c r="B144" s="55"/>
      <c r="C144" s="55"/>
      <c r="D144" s="55"/>
      <c r="E144" s="46" t="s">
        <v>5</v>
      </c>
      <c r="F144" s="30" t="s">
        <v>6</v>
      </c>
      <c r="G144" s="30" t="s">
        <v>7</v>
      </c>
      <c r="H144" s="30" t="s">
        <v>6</v>
      </c>
      <c r="I144" s="30" t="s">
        <v>8</v>
      </c>
      <c r="J144" s="30" t="s">
        <v>6</v>
      </c>
      <c r="K144" s="30" t="s">
        <v>9</v>
      </c>
      <c r="L144" s="30" t="s">
        <v>6</v>
      </c>
      <c r="M144" s="30" t="s">
        <v>10</v>
      </c>
      <c r="N144" s="30" t="s">
        <v>6</v>
      </c>
      <c r="O144" s="30" t="s">
        <v>11</v>
      </c>
      <c r="P144" s="30" t="s">
        <v>6</v>
      </c>
      <c r="Q144" s="30" t="s">
        <v>12</v>
      </c>
      <c r="R144" s="30" t="s">
        <v>6</v>
      </c>
      <c r="S144" s="30" t="s">
        <v>13</v>
      </c>
      <c r="T144" s="50" t="s">
        <v>6</v>
      </c>
    </row>
    <row r="145" spans="1:20" s="45" customFormat="1" ht="171.6">
      <c r="A145" s="51" t="s">
        <v>1503</v>
      </c>
      <c r="B145" s="56">
        <v>3</v>
      </c>
      <c r="C145" s="56">
        <v>8</v>
      </c>
      <c r="D145" s="57">
        <v>6</v>
      </c>
      <c r="E145" s="29" t="s">
        <v>1919</v>
      </c>
      <c r="F145" s="26" t="s">
        <v>19</v>
      </c>
      <c r="G145" s="29" t="s">
        <v>1920</v>
      </c>
      <c r="H145" s="36" t="s">
        <v>1911</v>
      </c>
      <c r="I145" s="29" t="s">
        <v>1921</v>
      </c>
      <c r="J145" s="26" t="s">
        <v>19</v>
      </c>
      <c r="K145" s="29" t="s">
        <v>1922</v>
      </c>
      <c r="L145" s="37" t="s">
        <v>1143</v>
      </c>
      <c r="M145" s="29" t="s">
        <v>1923</v>
      </c>
      <c r="N145" s="26" t="s">
        <v>19</v>
      </c>
      <c r="O145" s="29" t="s">
        <v>1924</v>
      </c>
      <c r="P145" s="34" t="s">
        <v>1925</v>
      </c>
      <c r="Q145" s="29" t="s">
        <v>1926</v>
      </c>
      <c r="R145" s="26" t="s">
        <v>1918</v>
      </c>
      <c r="S145" s="29"/>
      <c r="T145" s="68"/>
    </row>
    <row r="146" spans="1:20" s="45" customFormat="1" ht="15" customHeight="1">
      <c r="A146" s="55"/>
      <c r="B146" s="55"/>
      <c r="C146" s="55"/>
      <c r="D146" s="55"/>
      <c r="E146" s="93" t="s">
        <v>396</v>
      </c>
      <c r="F146" s="94"/>
      <c r="G146" s="94"/>
      <c r="H146" s="94"/>
      <c r="I146" s="94"/>
      <c r="J146" s="94"/>
      <c r="K146" s="94"/>
      <c r="L146" s="94"/>
      <c r="M146" s="94"/>
      <c r="N146" s="94"/>
      <c r="O146" s="94"/>
      <c r="P146" s="94"/>
      <c r="Q146" s="94"/>
      <c r="R146" s="94"/>
      <c r="S146" s="94"/>
      <c r="T146" s="95"/>
    </row>
    <row r="147" spans="1:20" s="45" customFormat="1" ht="15" customHeight="1">
      <c r="A147" s="55"/>
      <c r="B147" s="55"/>
      <c r="C147" s="55"/>
      <c r="D147" s="55"/>
      <c r="E147" s="46" t="s">
        <v>5</v>
      </c>
      <c r="F147" s="30" t="s">
        <v>6</v>
      </c>
      <c r="G147" s="30" t="s">
        <v>7</v>
      </c>
      <c r="H147" s="30" t="s">
        <v>6</v>
      </c>
      <c r="I147" s="30" t="s">
        <v>8</v>
      </c>
      <c r="J147" s="30" t="s">
        <v>6</v>
      </c>
      <c r="K147" s="30" t="s">
        <v>9</v>
      </c>
      <c r="L147" s="30" t="s">
        <v>6</v>
      </c>
      <c r="M147" s="30" t="s">
        <v>10</v>
      </c>
      <c r="N147" s="30" t="s">
        <v>6</v>
      </c>
      <c r="O147" s="30" t="s">
        <v>11</v>
      </c>
      <c r="P147" s="30" t="s">
        <v>6</v>
      </c>
      <c r="Q147" s="30" t="s">
        <v>12</v>
      </c>
      <c r="R147" s="30" t="s">
        <v>6</v>
      </c>
      <c r="S147" s="30" t="s">
        <v>13</v>
      </c>
      <c r="T147" s="50" t="s">
        <v>6</v>
      </c>
    </row>
    <row r="148" spans="1:20" s="45" customFormat="1" ht="158.44999999999999">
      <c r="A148" s="51" t="s">
        <v>1503</v>
      </c>
      <c r="B148" s="56">
        <v>3</v>
      </c>
      <c r="C148" s="56">
        <v>8</v>
      </c>
      <c r="D148" s="57">
        <v>10</v>
      </c>
      <c r="E148" s="29" t="s">
        <v>1927</v>
      </c>
      <c r="F148" s="26" t="s">
        <v>19</v>
      </c>
      <c r="G148" s="29" t="s">
        <v>1928</v>
      </c>
      <c r="H148" s="36" t="s">
        <v>1911</v>
      </c>
      <c r="I148" s="29" t="s">
        <v>1929</v>
      </c>
      <c r="J148" s="26" t="s">
        <v>19</v>
      </c>
      <c r="K148" s="29" t="s">
        <v>1930</v>
      </c>
      <c r="L148" s="37" t="s">
        <v>1143</v>
      </c>
      <c r="M148" s="29" t="s">
        <v>1931</v>
      </c>
      <c r="N148" s="26" t="s">
        <v>19</v>
      </c>
      <c r="O148" s="29" t="s">
        <v>1932</v>
      </c>
      <c r="P148" s="26" t="s">
        <v>19</v>
      </c>
      <c r="Q148" s="29" t="s">
        <v>1933</v>
      </c>
      <c r="R148" s="26" t="s">
        <v>1918</v>
      </c>
      <c r="S148" s="29"/>
      <c r="T148" s="50"/>
    </row>
    <row r="149" spans="1:20" s="45" customFormat="1" ht="15" customHeight="1">
      <c r="A149" s="55"/>
      <c r="B149" s="55"/>
      <c r="C149" s="55"/>
      <c r="D149" s="55"/>
      <c r="E149" s="93" t="s">
        <v>396</v>
      </c>
      <c r="F149" s="94"/>
      <c r="G149" s="94"/>
      <c r="H149" s="94"/>
      <c r="I149" s="94"/>
      <c r="J149" s="94"/>
      <c r="K149" s="94"/>
      <c r="L149" s="94"/>
      <c r="M149" s="94"/>
      <c r="N149" s="94"/>
      <c r="O149" s="94"/>
      <c r="P149" s="94"/>
      <c r="Q149" s="94"/>
      <c r="R149" s="94"/>
      <c r="S149" s="94"/>
      <c r="T149" s="95"/>
    </row>
    <row r="150" spans="1:20" s="45" customFormat="1" ht="15" customHeight="1">
      <c r="A150" s="55"/>
      <c r="B150" s="55"/>
      <c r="C150" s="55"/>
      <c r="D150" s="55"/>
      <c r="E150" s="46" t="s">
        <v>5</v>
      </c>
      <c r="F150" s="30" t="s">
        <v>6</v>
      </c>
      <c r="G150" s="30" t="s">
        <v>7</v>
      </c>
      <c r="H150" s="30" t="s">
        <v>6</v>
      </c>
      <c r="I150" s="30" t="s">
        <v>8</v>
      </c>
      <c r="J150" s="30" t="s">
        <v>6</v>
      </c>
      <c r="K150" s="30" t="s">
        <v>9</v>
      </c>
      <c r="L150" s="30" t="s">
        <v>6</v>
      </c>
      <c r="M150" s="30" t="s">
        <v>10</v>
      </c>
      <c r="N150" s="30" t="s">
        <v>6</v>
      </c>
      <c r="O150" s="30" t="s">
        <v>11</v>
      </c>
      <c r="P150" s="30" t="s">
        <v>6</v>
      </c>
      <c r="Q150" s="30" t="s">
        <v>12</v>
      </c>
      <c r="R150" s="30" t="s">
        <v>6</v>
      </c>
      <c r="S150" s="30" t="s">
        <v>13</v>
      </c>
      <c r="T150" s="50" t="s">
        <v>6</v>
      </c>
    </row>
    <row r="151" spans="1:20" s="45" customFormat="1" ht="204.75" customHeight="1">
      <c r="A151" s="51" t="s">
        <v>1503</v>
      </c>
      <c r="B151" s="56">
        <v>3</v>
      </c>
      <c r="C151" s="56">
        <v>8</v>
      </c>
      <c r="D151" s="57">
        <v>19</v>
      </c>
      <c r="E151" s="29" t="s">
        <v>1934</v>
      </c>
      <c r="F151" s="26" t="s">
        <v>19</v>
      </c>
      <c r="G151" s="29" t="s">
        <v>1935</v>
      </c>
      <c r="H151" s="36" t="s">
        <v>1911</v>
      </c>
      <c r="I151" s="29" t="s">
        <v>1936</v>
      </c>
      <c r="J151" s="34" t="s">
        <v>1937</v>
      </c>
      <c r="K151" s="29" t="s">
        <v>1938</v>
      </c>
      <c r="L151" s="37" t="s">
        <v>1143</v>
      </c>
      <c r="M151" s="29" t="s">
        <v>1939</v>
      </c>
      <c r="N151" s="26" t="s">
        <v>19</v>
      </c>
      <c r="O151" s="29" t="s">
        <v>1940</v>
      </c>
      <c r="P151" s="36" t="s">
        <v>1941</v>
      </c>
      <c r="Q151" s="29" t="s">
        <v>1942</v>
      </c>
      <c r="R151" s="34" t="s">
        <v>1943</v>
      </c>
      <c r="S151" s="29"/>
      <c r="T151" s="50"/>
    </row>
    <row r="152" spans="1:20" s="45" customFormat="1" ht="15" customHeight="1">
      <c r="A152" s="55"/>
      <c r="B152" s="55"/>
      <c r="C152" s="55"/>
      <c r="D152" s="55"/>
      <c r="E152" s="93" t="s">
        <v>396</v>
      </c>
      <c r="F152" s="94"/>
      <c r="G152" s="94"/>
      <c r="H152" s="94"/>
      <c r="I152" s="94"/>
      <c r="J152" s="94"/>
      <c r="K152" s="94"/>
      <c r="L152" s="94"/>
      <c r="M152" s="94"/>
      <c r="N152" s="94"/>
      <c r="O152" s="94"/>
      <c r="P152" s="94"/>
      <c r="Q152" s="94"/>
      <c r="R152" s="94"/>
      <c r="S152" s="94"/>
      <c r="T152" s="95"/>
    </row>
    <row r="153" spans="1:20" s="45" customFormat="1" ht="15" customHeight="1">
      <c r="A153" s="55"/>
      <c r="B153" s="55"/>
      <c r="C153" s="55"/>
      <c r="D153" s="55"/>
      <c r="E153" s="46" t="s">
        <v>5</v>
      </c>
      <c r="F153" s="30" t="s">
        <v>6</v>
      </c>
      <c r="G153" s="30" t="s">
        <v>7</v>
      </c>
      <c r="H153" s="30" t="s">
        <v>6</v>
      </c>
      <c r="I153" s="30" t="s">
        <v>8</v>
      </c>
      <c r="J153" s="30" t="s">
        <v>6</v>
      </c>
      <c r="K153" s="30" t="s">
        <v>9</v>
      </c>
      <c r="L153" s="30" t="s">
        <v>6</v>
      </c>
      <c r="M153" s="30" t="s">
        <v>10</v>
      </c>
      <c r="N153" s="30" t="s">
        <v>6</v>
      </c>
      <c r="O153" s="30" t="s">
        <v>11</v>
      </c>
      <c r="P153" s="30" t="s">
        <v>6</v>
      </c>
      <c r="Q153" s="30" t="s">
        <v>12</v>
      </c>
      <c r="R153" s="30" t="s">
        <v>6</v>
      </c>
      <c r="S153" s="30" t="s">
        <v>13</v>
      </c>
      <c r="T153" s="50" t="s">
        <v>6</v>
      </c>
    </row>
    <row r="154" spans="1:20" s="45" customFormat="1" ht="198">
      <c r="A154" s="51" t="s">
        <v>1503</v>
      </c>
      <c r="B154" s="56">
        <v>3</v>
      </c>
      <c r="C154" s="56">
        <v>8</v>
      </c>
      <c r="D154" s="57">
        <v>24</v>
      </c>
      <c r="E154" s="29" t="s">
        <v>1944</v>
      </c>
      <c r="F154" s="26" t="s">
        <v>19</v>
      </c>
      <c r="G154" s="29" t="s">
        <v>1945</v>
      </c>
      <c r="H154" s="36" t="s">
        <v>1911</v>
      </c>
      <c r="I154" s="29" t="s">
        <v>1946</v>
      </c>
      <c r="J154" s="26" t="s">
        <v>19</v>
      </c>
      <c r="K154" s="29" t="s">
        <v>1947</v>
      </c>
      <c r="L154" s="37" t="s">
        <v>1143</v>
      </c>
      <c r="M154" s="29" t="s">
        <v>1948</v>
      </c>
      <c r="N154" s="26" t="s">
        <v>19</v>
      </c>
      <c r="O154" s="29" t="s">
        <v>1949</v>
      </c>
      <c r="P154" s="34" t="s">
        <v>1950</v>
      </c>
      <c r="Q154" s="29" t="s">
        <v>128</v>
      </c>
      <c r="R154" s="26" t="s">
        <v>19</v>
      </c>
      <c r="S154" s="29"/>
      <c r="T154" s="50"/>
    </row>
    <row r="155" spans="1:20" s="45" customFormat="1" ht="15" customHeight="1">
      <c r="A155" s="55"/>
      <c r="B155" s="55"/>
      <c r="C155" s="55"/>
      <c r="D155" s="55"/>
      <c r="E155" s="93" t="s">
        <v>396</v>
      </c>
      <c r="F155" s="94"/>
      <c r="G155" s="94"/>
      <c r="H155" s="94"/>
      <c r="I155" s="94"/>
      <c r="J155" s="94"/>
      <c r="K155" s="94"/>
      <c r="L155" s="94"/>
      <c r="M155" s="94"/>
      <c r="N155" s="94"/>
      <c r="O155" s="94"/>
      <c r="P155" s="94"/>
      <c r="Q155" s="94"/>
      <c r="R155" s="94"/>
      <c r="S155" s="94"/>
      <c r="T155" s="95"/>
    </row>
    <row r="156" spans="1:20" s="45" customFormat="1" ht="15" customHeight="1">
      <c r="A156" s="55"/>
      <c r="B156" s="55"/>
      <c r="C156" s="55"/>
      <c r="D156" s="55"/>
      <c r="E156" s="46" t="s">
        <v>5</v>
      </c>
      <c r="F156" s="30" t="s">
        <v>6</v>
      </c>
      <c r="G156" s="30" t="s">
        <v>7</v>
      </c>
      <c r="H156" s="30" t="s">
        <v>6</v>
      </c>
      <c r="I156" s="30" t="s">
        <v>8</v>
      </c>
      <c r="J156" s="30" t="s">
        <v>6</v>
      </c>
      <c r="K156" s="30" t="s">
        <v>9</v>
      </c>
      <c r="L156" s="30" t="s">
        <v>6</v>
      </c>
      <c r="M156" s="30" t="s">
        <v>10</v>
      </c>
      <c r="N156" s="30" t="s">
        <v>6</v>
      </c>
      <c r="O156" s="30" t="s">
        <v>11</v>
      </c>
      <c r="P156" s="30" t="s">
        <v>6</v>
      </c>
      <c r="Q156" s="30" t="s">
        <v>12</v>
      </c>
      <c r="R156" s="30" t="s">
        <v>6</v>
      </c>
      <c r="S156" s="30" t="s">
        <v>13</v>
      </c>
      <c r="T156" s="50" t="s">
        <v>6</v>
      </c>
    </row>
    <row r="157" spans="1:20" s="45" customFormat="1" ht="198">
      <c r="A157" s="51" t="s">
        <v>1503</v>
      </c>
      <c r="B157" s="56">
        <v>3</v>
      </c>
      <c r="C157" s="56">
        <v>8</v>
      </c>
      <c r="D157" s="57">
        <v>26</v>
      </c>
      <c r="E157" s="29" t="s">
        <v>1951</v>
      </c>
      <c r="F157" s="26" t="s">
        <v>19</v>
      </c>
      <c r="G157" s="29" t="s">
        <v>1952</v>
      </c>
      <c r="H157" s="36" t="s">
        <v>1911</v>
      </c>
      <c r="I157" s="29" t="s">
        <v>1953</v>
      </c>
      <c r="J157" s="26" t="s">
        <v>19</v>
      </c>
      <c r="K157" s="29" t="s">
        <v>1954</v>
      </c>
      <c r="L157" s="37" t="s">
        <v>1143</v>
      </c>
      <c r="M157" s="29" t="s">
        <v>1955</v>
      </c>
      <c r="N157" s="26" t="s">
        <v>19</v>
      </c>
      <c r="O157" s="29" t="s">
        <v>1956</v>
      </c>
      <c r="P157" s="34" t="s">
        <v>1957</v>
      </c>
      <c r="Q157" s="29" t="s">
        <v>1958</v>
      </c>
      <c r="R157" s="34" t="s">
        <v>1943</v>
      </c>
      <c r="S157" s="29"/>
      <c r="T157" s="50"/>
    </row>
    <row r="158" spans="1:20" s="45" customFormat="1" ht="15" customHeight="1">
      <c r="A158" s="55"/>
      <c r="B158" s="55"/>
      <c r="C158" s="55"/>
      <c r="D158" s="55"/>
      <c r="E158" s="93" t="s">
        <v>396</v>
      </c>
      <c r="F158" s="94"/>
      <c r="G158" s="94"/>
      <c r="H158" s="94"/>
      <c r="I158" s="94"/>
      <c r="J158" s="94"/>
      <c r="K158" s="94"/>
      <c r="L158" s="94"/>
      <c r="M158" s="94"/>
      <c r="N158" s="94"/>
      <c r="O158" s="94"/>
      <c r="P158" s="94"/>
      <c r="Q158" s="94"/>
      <c r="R158" s="94"/>
      <c r="S158" s="94"/>
      <c r="T158" s="95"/>
    </row>
    <row r="159" spans="1:20" s="45" customFormat="1" ht="15" customHeight="1">
      <c r="A159" s="55"/>
      <c r="B159" s="55"/>
      <c r="C159" s="55"/>
      <c r="D159" s="55"/>
      <c r="E159" s="46" t="s">
        <v>5</v>
      </c>
      <c r="F159" s="30" t="s">
        <v>6</v>
      </c>
      <c r="G159" s="30" t="s">
        <v>7</v>
      </c>
      <c r="H159" s="30" t="s">
        <v>6</v>
      </c>
      <c r="I159" s="30" t="s">
        <v>8</v>
      </c>
      <c r="J159" s="30" t="s">
        <v>6</v>
      </c>
      <c r="K159" s="30" t="s">
        <v>9</v>
      </c>
      <c r="L159" s="30" t="s">
        <v>6</v>
      </c>
      <c r="M159" s="30" t="s">
        <v>10</v>
      </c>
      <c r="N159" s="30" t="s">
        <v>6</v>
      </c>
      <c r="O159" s="30" t="s">
        <v>11</v>
      </c>
      <c r="P159" s="30" t="s">
        <v>6</v>
      </c>
      <c r="Q159" s="30" t="s">
        <v>12</v>
      </c>
      <c r="R159" s="30" t="s">
        <v>6</v>
      </c>
      <c r="S159" s="30" t="s">
        <v>13</v>
      </c>
      <c r="T159" s="50" t="s">
        <v>6</v>
      </c>
    </row>
    <row r="160" spans="1:20" s="45" customFormat="1" ht="237.6">
      <c r="A160" s="51" t="s">
        <v>1503</v>
      </c>
      <c r="B160" s="56">
        <v>3</v>
      </c>
      <c r="C160" s="56">
        <v>8</v>
      </c>
      <c r="D160" s="57">
        <v>29</v>
      </c>
      <c r="E160" s="29" t="s">
        <v>1959</v>
      </c>
      <c r="F160" s="26" t="s">
        <v>19</v>
      </c>
      <c r="G160" s="29" t="s">
        <v>1960</v>
      </c>
      <c r="H160" s="36" t="s">
        <v>1911</v>
      </c>
      <c r="I160" s="29" t="s">
        <v>1961</v>
      </c>
      <c r="J160" s="26" t="s">
        <v>19</v>
      </c>
      <c r="K160" s="29" t="s">
        <v>1962</v>
      </c>
      <c r="L160" s="37" t="s">
        <v>1143</v>
      </c>
      <c r="M160" s="29" t="s">
        <v>1963</v>
      </c>
      <c r="N160" s="26" t="s">
        <v>19</v>
      </c>
      <c r="O160" s="29" t="s">
        <v>1964</v>
      </c>
      <c r="P160" s="34" t="s">
        <v>1965</v>
      </c>
      <c r="Q160" s="29" t="s">
        <v>1966</v>
      </c>
      <c r="R160" s="34" t="s">
        <v>1943</v>
      </c>
      <c r="S160" s="29"/>
      <c r="T160" s="50"/>
    </row>
    <row r="161" spans="1:20" s="45" customFormat="1">
      <c r="A161" s="55"/>
      <c r="B161" s="55"/>
      <c r="C161" s="55"/>
      <c r="D161" s="55"/>
      <c r="E161" s="93" t="s">
        <v>449</v>
      </c>
      <c r="F161" s="94"/>
      <c r="G161" s="94"/>
      <c r="H161" s="94"/>
      <c r="I161" s="94"/>
      <c r="J161" s="94"/>
      <c r="K161" s="94"/>
      <c r="L161" s="94"/>
      <c r="M161" s="94"/>
      <c r="N161" s="94"/>
      <c r="O161" s="94"/>
      <c r="P161" s="94"/>
      <c r="Q161" s="94"/>
      <c r="R161" s="94"/>
      <c r="S161" s="94"/>
      <c r="T161" s="95"/>
    </row>
    <row r="162" spans="1:20" s="45" customFormat="1">
      <c r="A162" s="55"/>
      <c r="B162" s="55"/>
      <c r="C162" s="55"/>
      <c r="D162" s="55"/>
      <c r="E162" s="46" t="s">
        <v>5</v>
      </c>
      <c r="F162" s="30" t="s">
        <v>6</v>
      </c>
      <c r="G162" s="30" t="s">
        <v>7</v>
      </c>
      <c r="H162" s="30" t="s">
        <v>6</v>
      </c>
      <c r="I162" s="30" t="s">
        <v>8</v>
      </c>
      <c r="J162" s="30" t="s">
        <v>6</v>
      </c>
      <c r="K162" s="30" t="s">
        <v>9</v>
      </c>
      <c r="L162" s="30" t="s">
        <v>6</v>
      </c>
      <c r="M162" s="30" t="s">
        <v>10</v>
      </c>
      <c r="N162" s="30" t="s">
        <v>6</v>
      </c>
      <c r="O162" s="30" t="s">
        <v>11</v>
      </c>
      <c r="P162" s="30" t="s">
        <v>6</v>
      </c>
      <c r="Q162" s="30" t="s">
        <v>12</v>
      </c>
      <c r="R162" s="30" t="s">
        <v>6</v>
      </c>
      <c r="S162" s="30" t="s">
        <v>13</v>
      </c>
      <c r="T162" s="50" t="s">
        <v>6</v>
      </c>
    </row>
    <row r="163" spans="1:20" s="45" customFormat="1" ht="224.45">
      <c r="A163" s="51" t="s">
        <v>1503</v>
      </c>
      <c r="B163" s="56">
        <v>3</v>
      </c>
      <c r="C163" s="56">
        <v>9</v>
      </c>
      <c r="D163" s="57">
        <v>3</v>
      </c>
      <c r="E163" s="29" t="s">
        <v>1967</v>
      </c>
      <c r="F163" s="26" t="s">
        <v>1968</v>
      </c>
      <c r="G163" s="29" t="s">
        <v>1969</v>
      </c>
      <c r="H163" s="36" t="s">
        <v>1970</v>
      </c>
      <c r="I163" s="29" t="s">
        <v>1971</v>
      </c>
      <c r="J163" s="26"/>
      <c r="K163" s="29" t="s">
        <v>1972</v>
      </c>
      <c r="L163" s="26" t="s">
        <v>1973</v>
      </c>
      <c r="M163" s="29" t="s">
        <v>1974</v>
      </c>
      <c r="N163" s="26"/>
      <c r="O163" s="29" t="s">
        <v>1975</v>
      </c>
      <c r="P163" s="36" t="s">
        <v>1976</v>
      </c>
      <c r="Q163" s="29" t="s">
        <v>1977</v>
      </c>
      <c r="R163" s="26" t="s">
        <v>1978</v>
      </c>
      <c r="S163" s="29" t="s">
        <v>1979</v>
      </c>
      <c r="T163" s="50"/>
    </row>
    <row r="164" spans="1:20" s="45" customFormat="1">
      <c r="A164" s="55"/>
      <c r="B164" s="55"/>
      <c r="C164" s="55"/>
      <c r="D164" s="55"/>
      <c r="E164" s="93" t="s">
        <v>449</v>
      </c>
      <c r="F164" s="94"/>
      <c r="G164" s="94"/>
      <c r="H164" s="94"/>
      <c r="I164" s="94"/>
      <c r="J164" s="94"/>
      <c r="K164" s="94"/>
      <c r="L164" s="94"/>
      <c r="M164" s="94"/>
      <c r="N164" s="94"/>
      <c r="O164" s="94"/>
      <c r="P164" s="94"/>
      <c r="Q164" s="94"/>
      <c r="R164" s="94"/>
      <c r="S164" s="94"/>
      <c r="T164" s="95"/>
    </row>
    <row r="165" spans="1:20" s="45" customFormat="1">
      <c r="A165" s="55"/>
      <c r="B165" s="55"/>
      <c r="C165" s="55"/>
      <c r="D165" s="55"/>
      <c r="E165" s="46" t="s">
        <v>5</v>
      </c>
      <c r="F165" s="30" t="s">
        <v>6</v>
      </c>
      <c r="G165" s="30" t="s">
        <v>7</v>
      </c>
      <c r="H165" s="30" t="s">
        <v>6</v>
      </c>
      <c r="I165" s="30" t="s">
        <v>8</v>
      </c>
      <c r="J165" s="30" t="s">
        <v>6</v>
      </c>
      <c r="K165" s="30" t="s">
        <v>9</v>
      </c>
      <c r="L165" s="30" t="s">
        <v>6</v>
      </c>
      <c r="M165" s="30" t="s">
        <v>10</v>
      </c>
      <c r="N165" s="30" t="s">
        <v>6</v>
      </c>
      <c r="O165" s="30" t="s">
        <v>11</v>
      </c>
      <c r="P165" s="30" t="s">
        <v>6</v>
      </c>
      <c r="Q165" s="30" t="s">
        <v>12</v>
      </c>
      <c r="R165" s="30" t="s">
        <v>6</v>
      </c>
      <c r="S165" s="30" t="s">
        <v>13</v>
      </c>
      <c r="T165" s="50" t="s">
        <v>6</v>
      </c>
    </row>
    <row r="166" spans="1:20" s="45" customFormat="1" ht="211.15">
      <c r="A166" s="51" t="s">
        <v>1503</v>
      </c>
      <c r="B166" s="56">
        <v>3</v>
      </c>
      <c r="C166" s="56">
        <v>9</v>
      </c>
      <c r="D166" s="57">
        <v>7</v>
      </c>
      <c r="E166" s="29" t="s">
        <v>1980</v>
      </c>
      <c r="F166" s="26" t="s">
        <v>1968</v>
      </c>
      <c r="G166" s="29" t="s">
        <v>1981</v>
      </c>
      <c r="H166" s="36" t="s">
        <v>1970</v>
      </c>
      <c r="I166" s="29" t="s">
        <v>1982</v>
      </c>
      <c r="J166" s="26"/>
      <c r="K166" s="29" t="s">
        <v>1983</v>
      </c>
      <c r="L166" s="26" t="s">
        <v>1973</v>
      </c>
      <c r="M166" s="29" t="s">
        <v>1984</v>
      </c>
      <c r="N166" s="26" t="s">
        <v>1985</v>
      </c>
      <c r="O166" s="29" t="s">
        <v>1986</v>
      </c>
      <c r="P166" s="26"/>
      <c r="Q166" s="29" t="s">
        <v>1987</v>
      </c>
      <c r="R166" s="26"/>
      <c r="S166" s="29" t="s">
        <v>1988</v>
      </c>
      <c r="T166" s="50"/>
    </row>
    <row r="167" spans="1:20" s="45" customFormat="1">
      <c r="A167" s="55"/>
      <c r="B167" s="55"/>
      <c r="C167" s="55"/>
      <c r="D167" s="55"/>
      <c r="E167" s="93" t="s">
        <v>449</v>
      </c>
      <c r="F167" s="94"/>
      <c r="G167" s="94"/>
      <c r="H167" s="94"/>
      <c r="I167" s="94"/>
      <c r="J167" s="94"/>
      <c r="K167" s="94"/>
      <c r="L167" s="94"/>
      <c r="M167" s="94"/>
      <c r="N167" s="94"/>
      <c r="O167" s="94"/>
      <c r="P167" s="94"/>
      <c r="Q167" s="94"/>
      <c r="R167" s="94"/>
      <c r="S167" s="94"/>
      <c r="T167" s="95"/>
    </row>
    <row r="168" spans="1:20" s="45" customFormat="1">
      <c r="A168" s="55"/>
      <c r="B168" s="55"/>
      <c r="C168" s="55"/>
      <c r="D168" s="55"/>
      <c r="E168" s="46" t="s">
        <v>5</v>
      </c>
      <c r="F168" s="30" t="s">
        <v>6</v>
      </c>
      <c r="G168" s="30" t="s">
        <v>7</v>
      </c>
      <c r="H168" s="30" t="s">
        <v>6</v>
      </c>
      <c r="I168" s="30" t="s">
        <v>8</v>
      </c>
      <c r="J168" s="30" t="s">
        <v>6</v>
      </c>
      <c r="K168" s="30" t="s">
        <v>9</v>
      </c>
      <c r="L168" s="30" t="s">
        <v>6</v>
      </c>
      <c r="M168" s="30" t="s">
        <v>10</v>
      </c>
      <c r="N168" s="30" t="s">
        <v>6</v>
      </c>
      <c r="O168" s="30" t="s">
        <v>11</v>
      </c>
      <c r="P168" s="30" t="s">
        <v>6</v>
      </c>
      <c r="Q168" s="30" t="s">
        <v>12</v>
      </c>
      <c r="R168" s="30" t="s">
        <v>6</v>
      </c>
      <c r="S168" s="30" t="s">
        <v>13</v>
      </c>
      <c r="T168" s="50" t="s">
        <v>6</v>
      </c>
    </row>
    <row r="169" spans="1:20" s="45" customFormat="1" ht="198">
      <c r="A169" s="51" t="s">
        <v>1503</v>
      </c>
      <c r="B169" s="56">
        <v>3</v>
      </c>
      <c r="C169" s="56">
        <v>9</v>
      </c>
      <c r="D169" s="57">
        <v>11</v>
      </c>
      <c r="E169" s="29" t="s">
        <v>1989</v>
      </c>
      <c r="F169" s="26" t="s">
        <v>1968</v>
      </c>
      <c r="G169" s="29" t="s">
        <v>1990</v>
      </c>
      <c r="H169" s="36" t="s">
        <v>1970</v>
      </c>
      <c r="I169" s="29" t="s">
        <v>1991</v>
      </c>
      <c r="J169" s="26"/>
      <c r="K169" s="29" t="s">
        <v>1992</v>
      </c>
      <c r="L169" s="26" t="s">
        <v>1973</v>
      </c>
      <c r="M169" s="29" t="s">
        <v>1993</v>
      </c>
      <c r="N169" s="26" t="s">
        <v>1994</v>
      </c>
      <c r="O169" s="29" t="s">
        <v>1995</v>
      </c>
      <c r="P169" s="36" t="s">
        <v>1996</v>
      </c>
      <c r="Q169" s="29" t="s">
        <v>1997</v>
      </c>
      <c r="R169" s="26"/>
      <c r="S169" s="29" t="s">
        <v>1998</v>
      </c>
      <c r="T169" s="50"/>
    </row>
    <row r="170" spans="1:20" s="45" customFormat="1">
      <c r="A170" s="55"/>
      <c r="B170" s="55"/>
      <c r="C170" s="55"/>
      <c r="D170" s="55"/>
      <c r="E170" s="93" t="s">
        <v>449</v>
      </c>
      <c r="F170" s="94"/>
      <c r="G170" s="94"/>
      <c r="H170" s="94"/>
      <c r="I170" s="94"/>
      <c r="J170" s="94"/>
      <c r="K170" s="94"/>
      <c r="L170" s="94"/>
      <c r="M170" s="94"/>
      <c r="N170" s="94"/>
      <c r="O170" s="94"/>
      <c r="P170" s="94"/>
      <c r="Q170" s="94"/>
      <c r="R170" s="94"/>
      <c r="S170" s="94"/>
      <c r="T170" s="95"/>
    </row>
    <row r="171" spans="1:20" s="45" customFormat="1">
      <c r="A171" s="55"/>
      <c r="B171" s="55"/>
      <c r="C171" s="55"/>
      <c r="D171" s="55"/>
      <c r="E171" s="46" t="s">
        <v>5</v>
      </c>
      <c r="F171" s="30" t="s">
        <v>6</v>
      </c>
      <c r="G171" s="30" t="s">
        <v>7</v>
      </c>
      <c r="H171" s="30" t="s">
        <v>6</v>
      </c>
      <c r="I171" s="30" t="s">
        <v>8</v>
      </c>
      <c r="J171" s="30" t="s">
        <v>6</v>
      </c>
      <c r="K171" s="30" t="s">
        <v>9</v>
      </c>
      <c r="L171" s="30" t="s">
        <v>6</v>
      </c>
      <c r="M171" s="30" t="s">
        <v>10</v>
      </c>
      <c r="N171" s="30" t="s">
        <v>6</v>
      </c>
      <c r="O171" s="30" t="s">
        <v>11</v>
      </c>
      <c r="P171" s="30" t="s">
        <v>6</v>
      </c>
      <c r="Q171" s="30" t="s">
        <v>12</v>
      </c>
      <c r="R171" s="30" t="s">
        <v>6</v>
      </c>
      <c r="S171" s="30" t="s">
        <v>13</v>
      </c>
      <c r="T171" s="50" t="s">
        <v>6</v>
      </c>
    </row>
    <row r="172" spans="1:20" s="45" customFormat="1" ht="224.45">
      <c r="A172" s="51" t="s">
        <v>1503</v>
      </c>
      <c r="B172" s="56">
        <v>3</v>
      </c>
      <c r="C172" s="56">
        <v>9</v>
      </c>
      <c r="D172" s="57">
        <v>15</v>
      </c>
      <c r="E172" s="29" t="s">
        <v>1999</v>
      </c>
      <c r="F172" s="26" t="s">
        <v>1968</v>
      </c>
      <c r="G172" s="29" t="s">
        <v>2000</v>
      </c>
      <c r="H172" s="36" t="s">
        <v>1970</v>
      </c>
      <c r="I172" s="29" t="s">
        <v>2001</v>
      </c>
      <c r="J172" s="26"/>
      <c r="K172" s="29" t="s">
        <v>2002</v>
      </c>
      <c r="L172" s="26" t="s">
        <v>1973</v>
      </c>
      <c r="M172" s="29" t="s">
        <v>2003</v>
      </c>
      <c r="N172" s="26" t="s">
        <v>1994</v>
      </c>
      <c r="O172" s="29" t="s">
        <v>2004</v>
      </c>
      <c r="P172" s="36" t="s">
        <v>2005</v>
      </c>
      <c r="Q172" s="29" t="s">
        <v>2006</v>
      </c>
      <c r="R172" s="26"/>
      <c r="S172" s="29" t="s">
        <v>2007</v>
      </c>
      <c r="T172" s="68"/>
    </row>
    <row r="173" spans="1:20" s="45" customFormat="1">
      <c r="A173" s="55"/>
      <c r="B173" s="55"/>
      <c r="C173" s="55"/>
      <c r="D173" s="55"/>
      <c r="E173" s="93" t="s">
        <v>449</v>
      </c>
      <c r="F173" s="94"/>
      <c r="G173" s="94"/>
      <c r="H173" s="94"/>
      <c r="I173" s="94"/>
      <c r="J173" s="94"/>
      <c r="K173" s="94"/>
      <c r="L173" s="94"/>
      <c r="M173" s="94"/>
      <c r="N173" s="94"/>
      <c r="O173" s="94"/>
      <c r="P173" s="94"/>
      <c r="Q173" s="94"/>
      <c r="R173" s="94"/>
      <c r="S173" s="94"/>
      <c r="T173" s="95"/>
    </row>
    <row r="174" spans="1:20" s="45" customFormat="1">
      <c r="A174" s="55"/>
      <c r="B174" s="55"/>
      <c r="C174" s="55"/>
      <c r="D174" s="55"/>
      <c r="E174" s="46" t="s">
        <v>5</v>
      </c>
      <c r="F174" s="30" t="s">
        <v>6</v>
      </c>
      <c r="G174" s="30" t="s">
        <v>7</v>
      </c>
      <c r="H174" s="30" t="s">
        <v>6</v>
      </c>
      <c r="I174" s="30" t="s">
        <v>8</v>
      </c>
      <c r="J174" s="30" t="s">
        <v>6</v>
      </c>
      <c r="K174" s="30" t="s">
        <v>9</v>
      </c>
      <c r="L174" s="30" t="s">
        <v>6</v>
      </c>
      <c r="M174" s="30" t="s">
        <v>10</v>
      </c>
      <c r="N174" s="30" t="s">
        <v>6</v>
      </c>
      <c r="O174" s="30" t="s">
        <v>11</v>
      </c>
      <c r="P174" s="30" t="s">
        <v>6</v>
      </c>
      <c r="Q174" s="30" t="s">
        <v>12</v>
      </c>
      <c r="R174" s="30" t="s">
        <v>6</v>
      </c>
      <c r="S174" s="30" t="s">
        <v>13</v>
      </c>
      <c r="T174" s="50" t="s">
        <v>6</v>
      </c>
    </row>
    <row r="175" spans="1:20" s="45" customFormat="1" ht="211.15">
      <c r="A175" s="51" t="s">
        <v>1503</v>
      </c>
      <c r="B175" s="56">
        <v>3</v>
      </c>
      <c r="C175" s="56">
        <v>9</v>
      </c>
      <c r="D175" s="57">
        <v>25</v>
      </c>
      <c r="E175" s="29" t="s">
        <v>2008</v>
      </c>
      <c r="F175" s="26" t="s">
        <v>1968</v>
      </c>
      <c r="G175" s="29" t="s">
        <v>2009</v>
      </c>
      <c r="H175" s="36" t="s">
        <v>1970</v>
      </c>
      <c r="I175" s="29" t="s">
        <v>2010</v>
      </c>
      <c r="J175" s="26"/>
      <c r="K175" s="29" t="s">
        <v>2011</v>
      </c>
      <c r="L175" s="26" t="s">
        <v>1973</v>
      </c>
      <c r="M175" s="29" t="s">
        <v>2012</v>
      </c>
      <c r="N175" s="26"/>
      <c r="O175" s="29" t="s">
        <v>2013</v>
      </c>
      <c r="P175" s="36" t="s">
        <v>2014</v>
      </c>
      <c r="Q175" s="29" t="s">
        <v>2015</v>
      </c>
      <c r="R175" s="26"/>
      <c r="S175" s="29" t="s">
        <v>2016</v>
      </c>
      <c r="T175" s="50"/>
    </row>
    <row r="176" spans="1:20" s="45" customFormat="1">
      <c r="A176" s="55"/>
      <c r="B176" s="55"/>
      <c r="C176" s="55"/>
      <c r="D176" s="55"/>
      <c r="E176" s="93" t="s">
        <v>449</v>
      </c>
      <c r="F176" s="94"/>
      <c r="G176" s="94"/>
      <c r="H176" s="94"/>
      <c r="I176" s="94"/>
      <c r="J176" s="94"/>
      <c r="K176" s="94"/>
      <c r="L176" s="94"/>
      <c r="M176" s="94"/>
      <c r="N176" s="94"/>
      <c r="O176" s="94"/>
      <c r="P176" s="94"/>
      <c r="Q176" s="94"/>
      <c r="R176" s="94"/>
      <c r="S176" s="94"/>
      <c r="T176" s="95"/>
    </row>
    <row r="177" spans="1:20" s="45" customFormat="1">
      <c r="A177" s="55"/>
      <c r="B177" s="55"/>
      <c r="C177" s="55"/>
      <c r="D177" s="55"/>
      <c r="E177" s="46" t="s">
        <v>5</v>
      </c>
      <c r="F177" s="30" t="s">
        <v>6</v>
      </c>
      <c r="G177" s="30" t="s">
        <v>7</v>
      </c>
      <c r="H177" s="30" t="s">
        <v>6</v>
      </c>
      <c r="I177" s="30" t="s">
        <v>8</v>
      </c>
      <c r="J177" s="30" t="s">
        <v>6</v>
      </c>
      <c r="K177" s="30" t="s">
        <v>9</v>
      </c>
      <c r="L177" s="30" t="s">
        <v>6</v>
      </c>
      <c r="M177" s="30" t="s">
        <v>10</v>
      </c>
      <c r="N177" s="30" t="s">
        <v>6</v>
      </c>
      <c r="O177" s="30" t="s">
        <v>11</v>
      </c>
      <c r="P177" s="30" t="s">
        <v>6</v>
      </c>
      <c r="Q177" s="30" t="s">
        <v>12</v>
      </c>
      <c r="R177" s="30" t="s">
        <v>6</v>
      </c>
      <c r="S177" s="30" t="s">
        <v>13</v>
      </c>
      <c r="T177" s="50" t="s">
        <v>6</v>
      </c>
    </row>
    <row r="178" spans="1:20" s="45" customFormat="1" ht="224.45">
      <c r="A178" s="51" t="s">
        <v>1503</v>
      </c>
      <c r="B178" s="56">
        <v>3</v>
      </c>
      <c r="C178" s="56">
        <v>9</v>
      </c>
      <c r="D178" s="57">
        <v>28</v>
      </c>
      <c r="E178" s="29" t="s">
        <v>2017</v>
      </c>
      <c r="F178" s="26" t="s">
        <v>1968</v>
      </c>
      <c r="G178" s="29" t="s">
        <v>2018</v>
      </c>
      <c r="H178" s="36" t="s">
        <v>1970</v>
      </c>
      <c r="I178" s="29" t="s">
        <v>2019</v>
      </c>
      <c r="J178" s="26"/>
      <c r="K178" s="29" t="s">
        <v>2020</v>
      </c>
      <c r="L178" s="26" t="s">
        <v>1973</v>
      </c>
      <c r="M178" s="29" t="s">
        <v>2021</v>
      </c>
      <c r="N178" s="26"/>
      <c r="O178" s="29" t="s">
        <v>2022</v>
      </c>
      <c r="P178" s="36" t="s">
        <v>2023</v>
      </c>
      <c r="Q178" s="29" t="s">
        <v>2024</v>
      </c>
      <c r="R178" s="26"/>
      <c r="S178" s="29" t="s">
        <v>2025</v>
      </c>
      <c r="T178" s="50"/>
    </row>
    <row r="179" spans="1:20" s="45" customFormat="1">
      <c r="A179" s="55"/>
      <c r="B179" s="55"/>
      <c r="C179" s="55"/>
      <c r="D179" s="55"/>
      <c r="E179" s="93" t="s">
        <v>449</v>
      </c>
      <c r="F179" s="94"/>
      <c r="G179" s="94"/>
      <c r="H179" s="94"/>
      <c r="I179" s="94"/>
      <c r="J179" s="94"/>
      <c r="K179" s="94"/>
      <c r="L179" s="94"/>
      <c r="M179" s="94"/>
      <c r="N179" s="94"/>
      <c r="O179" s="94"/>
      <c r="P179" s="94"/>
      <c r="Q179" s="94"/>
      <c r="R179" s="94"/>
      <c r="S179" s="94"/>
      <c r="T179" s="95"/>
    </row>
    <row r="180" spans="1:20" s="45" customFormat="1">
      <c r="A180" s="55"/>
      <c r="B180" s="55"/>
      <c r="C180" s="55"/>
      <c r="D180" s="55"/>
      <c r="E180" s="46" t="s">
        <v>5</v>
      </c>
      <c r="F180" s="30" t="s">
        <v>6</v>
      </c>
      <c r="G180" s="30" t="s">
        <v>7</v>
      </c>
      <c r="H180" s="30" t="s">
        <v>6</v>
      </c>
      <c r="I180" s="30" t="s">
        <v>8</v>
      </c>
      <c r="J180" s="30" t="s">
        <v>6</v>
      </c>
      <c r="K180" s="30" t="s">
        <v>9</v>
      </c>
      <c r="L180" s="30" t="s">
        <v>6</v>
      </c>
      <c r="M180" s="30" t="s">
        <v>10</v>
      </c>
      <c r="N180" s="30" t="s">
        <v>6</v>
      </c>
      <c r="O180" s="30" t="s">
        <v>11</v>
      </c>
      <c r="P180" s="30" t="s">
        <v>6</v>
      </c>
      <c r="Q180" s="30" t="s">
        <v>12</v>
      </c>
      <c r="R180" s="30" t="s">
        <v>6</v>
      </c>
      <c r="S180" s="30" t="s">
        <v>13</v>
      </c>
      <c r="T180" s="50" t="s">
        <v>6</v>
      </c>
    </row>
    <row r="181" spans="1:20" s="45" customFormat="1" ht="396">
      <c r="A181" s="51" t="s">
        <v>1503</v>
      </c>
      <c r="B181" s="56">
        <v>3</v>
      </c>
      <c r="C181" s="56">
        <v>9</v>
      </c>
      <c r="D181" s="57">
        <v>30</v>
      </c>
      <c r="E181" s="29" t="s">
        <v>2026</v>
      </c>
      <c r="F181" s="26" t="s">
        <v>1968</v>
      </c>
      <c r="G181" s="29" t="s">
        <v>2027</v>
      </c>
      <c r="H181" s="36" t="s">
        <v>1970</v>
      </c>
      <c r="I181" s="29" t="s">
        <v>1991</v>
      </c>
      <c r="J181" s="26"/>
      <c r="K181" s="29" t="s">
        <v>2028</v>
      </c>
      <c r="L181" s="26" t="s">
        <v>1973</v>
      </c>
      <c r="M181" s="29" t="s">
        <v>2029</v>
      </c>
      <c r="N181" s="26"/>
      <c r="O181" s="29" t="s">
        <v>2030</v>
      </c>
      <c r="P181" s="36" t="s">
        <v>2023</v>
      </c>
      <c r="Q181" s="29" t="s">
        <v>2031</v>
      </c>
      <c r="R181" s="26"/>
      <c r="S181" s="29" t="s">
        <v>2032</v>
      </c>
      <c r="T181" s="50"/>
    </row>
    <row r="182" spans="1:20" s="45" customFormat="1">
      <c r="A182" s="55"/>
      <c r="B182" s="55"/>
      <c r="C182" s="55"/>
      <c r="D182" s="55"/>
      <c r="E182" s="93" t="s">
        <v>507</v>
      </c>
      <c r="F182" s="94"/>
      <c r="G182" s="94"/>
      <c r="H182" s="94"/>
      <c r="I182" s="94"/>
      <c r="J182" s="94"/>
      <c r="K182" s="94"/>
      <c r="L182" s="94"/>
      <c r="M182" s="94"/>
      <c r="N182" s="94"/>
      <c r="O182" s="94"/>
      <c r="P182" s="94"/>
      <c r="Q182" s="94"/>
      <c r="R182" s="94"/>
      <c r="S182" s="94"/>
      <c r="T182" s="95"/>
    </row>
    <row r="183" spans="1:20" s="45" customFormat="1">
      <c r="A183" s="55"/>
      <c r="B183" s="55"/>
      <c r="C183" s="55"/>
      <c r="D183" s="55"/>
      <c r="E183" s="46" t="s">
        <v>5</v>
      </c>
      <c r="F183" s="30" t="s">
        <v>6</v>
      </c>
      <c r="G183" s="30" t="s">
        <v>7</v>
      </c>
      <c r="H183" s="30" t="s">
        <v>6</v>
      </c>
      <c r="I183" s="30" t="s">
        <v>8</v>
      </c>
      <c r="J183" s="30" t="s">
        <v>6</v>
      </c>
      <c r="K183" s="30" t="s">
        <v>9</v>
      </c>
      <c r="L183" s="30" t="s">
        <v>6</v>
      </c>
      <c r="M183" s="30" t="s">
        <v>10</v>
      </c>
      <c r="N183" s="30" t="s">
        <v>6</v>
      </c>
      <c r="O183" s="30" t="s">
        <v>11</v>
      </c>
      <c r="P183" s="30" t="s">
        <v>6</v>
      </c>
      <c r="Q183" s="30" t="s">
        <v>12</v>
      </c>
      <c r="R183" s="30" t="s">
        <v>6</v>
      </c>
      <c r="S183" s="30" t="s">
        <v>13</v>
      </c>
      <c r="T183" s="50" t="s">
        <v>6</v>
      </c>
    </row>
    <row r="184" spans="1:20" s="45" customFormat="1" ht="158.44999999999999">
      <c r="A184" s="51" t="s">
        <v>1503</v>
      </c>
      <c r="B184" s="56">
        <v>3</v>
      </c>
      <c r="C184" s="56">
        <v>10</v>
      </c>
      <c r="D184" s="57">
        <v>4</v>
      </c>
      <c r="E184" s="29" t="s">
        <v>2033</v>
      </c>
      <c r="F184" s="26" t="s">
        <v>19</v>
      </c>
      <c r="G184" s="29" t="s">
        <v>2034</v>
      </c>
      <c r="H184" s="26" t="s">
        <v>19</v>
      </c>
      <c r="I184" s="29" t="s">
        <v>2035</v>
      </c>
      <c r="J184" s="36" t="s">
        <v>2036</v>
      </c>
      <c r="K184" s="29" t="s">
        <v>2037</v>
      </c>
      <c r="L184" s="36" t="s">
        <v>2038</v>
      </c>
      <c r="M184" s="29" t="s">
        <v>2039</v>
      </c>
      <c r="N184" s="26" t="s">
        <v>19</v>
      </c>
      <c r="O184" s="29" t="s">
        <v>2040</v>
      </c>
      <c r="P184" s="26" t="s">
        <v>19</v>
      </c>
      <c r="Q184" s="29" t="s">
        <v>2041</v>
      </c>
      <c r="R184" s="26" t="s">
        <v>19</v>
      </c>
      <c r="S184" s="29" t="s">
        <v>2042</v>
      </c>
      <c r="T184" s="50"/>
    </row>
    <row r="185" spans="1:20" s="45" customFormat="1">
      <c r="A185" s="55"/>
      <c r="B185" s="55"/>
      <c r="C185" s="55"/>
      <c r="D185" s="55"/>
      <c r="E185" s="93" t="s">
        <v>507</v>
      </c>
      <c r="F185" s="94"/>
      <c r="G185" s="94"/>
      <c r="H185" s="94"/>
      <c r="I185" s="94"/>
      <c r="J185" s="94"/>
      <c r="K185" s="94"/>
      <c r="L185" s="94"/>
      <c r="M185" s="94"/>
      <c r="N185" s="94"/>
      <c r="O185" s="94"/>
      <c r="P185" s="94"/>
      <c r="Q185" s="94"/>
      <c r="R185" s="94"/>
      <c r="S185" s="94"/>
      <c r="T185" s="95"/>
    </row>
    <row r="186" spans="1:20" s="45" customFormat="1">
      <c r="A186" s="55"/>
      <c r="B186" s="55"/>
      <c r="C186" s="55"/>
      <c r="D186" s="55"/>
      <c r="E186" s="46" t="s">
        <v>5</v>
      </c>
      <c r="F186" s="30" t="s">
        <v>6</v>
      </c>
      <c r="G186" s="30" t="s">
        <v>7</v>
      </c>
      <c r="H186" s="30" t="s">
        <v>6</v>
      </c>
      <c r="I186" s="30" t="s">
        <v>8</v>
      </c>
      <c r="J186" s="30" t="s">
        <v>6</v>
      </c>
      <c r="K186" s="30" t="s">
        <v>9</v>
      </c>
      <c r="L186" s="30" t="s">
        <v>6</v>
      </c>
      <c r="M186" s="30" t="s">
        <v>10</v>
      </c>
      <c r="N186" s="30" t="s">
        <v>6</v>
      </c>
      <c r="O186" s="30" t="s">
        <v>11</v>
      </c>
      <c r="P186" s="30" t="s">
        <v>6</v>
      </c>
      <c r="Q186" s="30" t="s">
        <v>12</v>
      </c>
      <c r="R186" s="30" t="s">
        <v>6</v>
      </c>
      <c r="S186" s="30" t="s">
        <v>13</v>
      </c>
      <c r="T186" s="50" t="s">
        <v>6</v>
      </c>
    </row>
    <row r="187" spans="1:20" s="45" customFormat="1" ht="184.9">
      <c r="A187" s="51" t="s">
        <v>1503</v>
      </c>
      <c r="B187" s="56">
        <v>3</v>
      </c>
      <c r="C187" s="56">
        <v>10</v>
      </c>
      <c r="D187" s="57">
        <v>8</v>
      </c>
      <c r="E187" s="29" t="s">
        <v>2043</v>
      </c>
      <c r="F187" s="26" t="s">
        <v>19</v>
      </c>
      <c r="G187" s="29" t="s">
        <v>2044</v>
      </c>
      <c r="H187" s="26" t="s">
        <v>19</v>
      </c>
      <c r="I187" s="29" t="s">
        <v>2045</v>
      </c>
      <c r="J187" s="36" t="s">
        <v>2036</v>
      </c>
      <c r="K187" s="29" t="s">
        <v>2046</v>
      </c>
      <c r="L187" s="26" t="s">
        <v>19</v>
      </c>
      <c r="M187" s="29" t="s">
        <v>2047</v>
      </c>
      <c r="N187" s="26" t="s">
        <v>19</v>
      </c>
      <c r="O187" s="29" t="s">
        <v>2048</v>
      </c>
      <c r="P187" s="26" t="s">
        <v>19</v>
      </c>
      <c r="Q187" s="29" t="s">
        <v>2049</v>
      </c>
      <c r="R187" s="36" t="s">
        <v>2050</v>
      </c>
      <c r="S187" s="29" t="s">
        <v>2051</v>
      </c>
      <c r="T187" s="50"/>
    </row>
    <row r="188" spans="1:20" s="45" customFormat="1">
      <c r="A188" s="55"/>
      <c r="B188" s="55"/>
      <c r="C188" s="55"/>
      <c r="D188" s="55"/>
      <c r="E188" s="93" t="s">
        <v>507</v>
      </c>
      <c r="F188" s="94"/>
      <c r="G188" s="94"/>
      <c r="H188" s="94"/>
      <c r="I188" s="94"/>
      <c r="J188" s="94"/>
      <c r="K188" s="94"/>
      <c r="L188" s="94"/>
      <c r="M188" s="94"/>
      <c r="N188" s="94"/>
      <c r="O188" s="94"/>
      <c r="P188" s="94"/>
      <c r="Q188" s="94"/>
      <c r="R188" s="94"/>
      <c r="S188" s="94"/>
      <c r="T188" s="95"/>
    </row>
    <row r="189" spans="1:20" s="45" customFormat="1">
      <c r="A189" s="55"/>
      <c r="B189" s="55"/>
      <c r="C189" s="55"/>
      <c r="D189" s="55"/>
      <c r="E189" s="46" t="s">
        <v>5</v>
      </c>
      <c r="F189" s="30" t="s">
        <v>6</v>
      </c>
      <c r="G189" s="30" t="s">
        <v>7</v>
      </c>
      <c r="H189" s="30" t="s">
        <v>6</v>
      </c>
      <c r="I189" s="30" t="s">
        <v>8</v>
      </c>
      <c r="J189" s="30" t="s">
        <v>6</v>
      </c>
      <c r="K189" s="30" t="s">
        <v>9</v>
      </c>
      <c r="L189" s="30" t="s">
        <v>6</v>
      </c>
      <c r="M189" s="30" t="s">
        <v>10</v>
      </c>
      <c r="N189" s="30" t="s">
        <v>6</v>
      </c>
      <c r="O189" s="30" t="s">
        <v>11</v>
      </c>
      <c r="P189" s="30" t="s">
        <v>6</v>
      </c>
      <c r="Q189" s="30" t="s">
        <v>12</v>
      </c>
      <c r="R189" s="30" t="s">
        <v>6</v>
      </c>
      <c r="S189" s="30" t="s">
        <v>13</v>
      </c>
      <c r="T189" s="50" t="s">
        <v>6</v>
      </c>
    </row>
    <row r="190" spans="1:20" s="45" customFormat="1" ht="290.45">
      <c r="A190" s="51" t="s">
        <v>1503</v>
      </c>
      <c r="B190" s="56">
        <v>3</v>
      </c>
      <c r="C190" s="56">
        <v>10</v>
      </c>
      <c r="D190" s="57">
        <v>13</v>
      </c>
      <c r="E190" s="29" t="s">
        <v>2052</v>
      </c>
      <c r="F190" s="26" t="s">
        <v>19</v>
      </c>
      <c r="G190" s="29" t="s">
        <v>2053</v>
      </c>
      <c r="H190" s="26" t="s">
        <v>19</v>
      </c>
      <c r="I190" s="29" t="s">
        <v>2054</v>
      </c>
      <c r="J190" s="36" t="s">
        <v>2055</v>
      </c>
      <c r="K190" s="29" t="s">
        <v>2056</v>
      </c>
      <c r="L190" s="36" t="s">
        <v>2057</v>
      </c>
      <c r="M190" s="29" t="s">
        <v>2058</v>
      </c>
      <c r="N190" s="26" t="s">
        <v>19</v>
      </c>
      <c r="O190" s="29" t="s">
        <v>2059</v>
      </c>
      <c r="P190" s="26" t="s">
        <v>19</v>
      </c>
      <c r="Q190" s="29" t="s">
        <v>2060</v>
      </c>
      <c r="R190" s="26" t="s">
        <v>19</v>
      </c>
      <c r="S190" s="29" t="s">
        <v>2061</v>
      </c>
      <c r="T190" s="50"/>
    </row>
    <row r="191" spans="1:20" s="45" customFormat="1">
      <c r="A191" s="55"/>
      <c r="B191" s="55"/>
      <c r="C191" s="55"/>
      <c r="D191" s="55"/>
      <c r="E191" s="93" t="s">
        <v>507</v>
      </c>
      <c r="F191" s="94"/>
      <c r="G191" s="94"/>
      <c r="H191" s="94"/>
      <c r="I191" s="94"/>
      <c r="J191" s="94"/>
      <c r="K191" s="94"/>
      <c r="L191" s="94"/>
      <c r="M191" s="94"/>
      <c r="N191" s="94"/>
      <c r="O191" s="94"/>
      <c r="P191" s="94"/>
      <c r="Q191" s="94"/>
      <c r="R191" s="94"/>
      <c r="S191" s="94"/>
      <c r="T191" s="95"/>
    </row>
    <row r="192" spans="1:20" s="45" customFormat="1">
      <c r="A192" s="55"/>
      <c r="B192" s="55"/>
      <c r="C192" s="55"/>
      <c r="D192" s="55"/>
      <c r="E192" s="46" t="s">
        <v>5</v>
      </c>
      <c r="F192" s="30" t="s">
        <v>6</v>
      </c>
      <c r="G192" s="30" t="s">
        <v>7</v>
      </c>
      <c r="H192" s="30" t="s">
        <v>6</v>
      </c>
      <c r="I192" s="30" t="s">
        <v>8</v>
      </c>
      <c r="J192" s="30" t="s">
        <v>6</v>
      </c>
      <c r="K192" s="30" t="s">
        <v>9</v>
      </c>
      <c r="L192" s="30" t="s">
        <v>6</v>
      </c>
      <c r="M192" s="30" t="s">
        <v>10</v>
      </c>
      <c r="N192" s="30" t="s">
        <v>6</v>
      </c>
      <c r="O192" s="30" t="s">
        <v>11</v>
      </c>
      <c r="P192" s="30" t="s">
        <v>6</v>
      </c>
      <c r="Q192" s="30" t="s">
        <v>12</v>
      </c>
      <c r="R192" s="30" t="s">
        <v>6</v>
      </c>
      <c r="S192" s="30" t="s">
        <v>13</v>
      </c>
      <c r="T192" s="50" t="s">
        <v>6</v>
      </c>
    </row>
    <row r="193" spans="1:20" s="45" customFormat="1" ht="171.6">
      <c r="A193" s="51" t="s">
        <v>1503</v>
      </c>
      <c r="B193" s="56">
        <v>3</v>
      </c>
      <c r="C193" s="56">
        <v>10</v>
      </c>
      <c r="D193" s="57">
        <v>16</v>
      </c>
      <c r="E193" s="29" t="s">
        <v>2062</v>
      </c>
      <c r="F193" s="26" t="s">
        <v>19</v>
      </c>
      <c r="G193" s="29" t="s">
        <v>2063</v>
      </c>
      <c r="H193" s="26" t="s">
        <v>19</v>
      </c>
      <c r="I193" s="29" t="s">
        <v>2064</v>
      </c>
      <c r="J193" s="36" t="s">
        <v>2065</v>
      </c>
      <c r="K193" s="29" t="s">
        <v>2066</v>
      </c>
      <c r="L193" s="36" t="s">
        <v>2067</v>
      </c>
      <c r="M193" s="29" t="s">
        <v>2068</v>
      </c>
      <c r="N193" s="26" t="s">
        <v>19</v>
      </c>
      <c r="O193" s="29" t="s">
        <v>2069</v>
      </c>
      <c r="P193" s="26" t="s">
        <v>19</v>
      </c>
      <c r="Q193" s="29" t="s">
        <v>2070</v>
      </c>
      <c r="R193" s="26" t="s">
        <v>19</v>
      </c>
      <c r="S193" s="29" t="s">
        <v>2071</v>
      </c>
      <c r="T193" s="50"/>
    </row>
    <row r="194" spans="1:20" s="45" customFormat="1">
      <c r="A194" s="55"/>
      <c r="B194" s="55"/>
      <c r="C194" s="55"/>
      <c r="D194" s="55"/>
      <c r="E194" s="93" t="s">
        <v>507</v>
      </c>
      <c r="F194" s="94"/>
      <c r="G194" s="94"/>
      <c r="H194" s="94"/>
      <c r="I194" s="94"/>
      <c r="J194" s="94"/>
      <c r="K194" s="94"/>
      <c r="L194" s="94"/>
      <c r="M194" s="94"/>
      <c r="N194" s="94"/>
      <c r="O194" s="94"/>
      <c r="P194" s="94"/>
      <c r="Q194" s="94"/>
      <c r="R194" s="94"/>
      <c r="S194" s="94"/>
      <c r="T194" s="95"/>
    </row>
    <row r="195" spans="1:20" s="45" customFormat="1">
      <c r="A195" s="55"/>
      <c r="B195" s="55"/>
      <c r="C195" s="55"/>
      <c r="D195" s="55"/>
      <c r="E195" s="46" t="s">
        <v>5</v>
      </c>
      <c r="F195" s="30" t="s">
        <v>6</v>
      </c>
      <c r="G195" s="30" t="s">
        <v>7</v>
      </c>
      <c r="H195" s="30" t="s">
        <v>6</v>
      </c>
      <c r="I195" s="30" t="s">
        <v>8</v>
      </c>
      <c r="J195" s="30" t="s">
        <v>6</v>
      </c>
      <c r="K195" s="30" t="s">
        <v>9</v>
      </c>
      <c r="L195" s="30" t="s">
        <v>6</v>
      </c>
      <c r="M195" s="30" t="s">
        <v>10</v>
      </c>
      <c r="N195" s="30" t="s">
        <v>6</v>
      </c>
      <c r="O195" s="30" t="s">
        <v>11</v>
      </c>
      <c r="P195" s="30" t="s">
        <v>6</v>
      </c>
      <c r="Q195" s="30" t="s">
        <v>12</v>
      </c>
      <c r="R195" s="30" t="s">
        <v>6</v>
      </c>
      <c r="S195" s="30" t="s">
        <v>13</v>
      </c>
      <c r="T195" s="50" t="s">
        <v>6</v>
      </c>
    </row>
    <row r="196" spans="1:20" s="45" customFormat="1" ht="198">
      <c r="A196" s="51" t="s">
        <v>1503</v>
      </c>
      <c r="B196" s="56">
        <v>3</v>
      </c>
      <c r="C196" s="56">
        <v>10</v>
      </c>
      <c r="D196" s="57">
        <v>22</v>
      </c>
      <c r="E196" s="29" t="s">
        <v>2072</v>
      </c>
      <c r="F196" s="26" t="s">
        <v>19</v>
      </c>
      <c r="G196" s="29" t="s">
        <v>2073</v>
      </c>
      <c r="H196" s="26" t="s">
        <v>19</v>
      </c>
      <c r="I196" s="29" t="s">
        <v>2074</v>
      </c>
      <c r="J196" s="36" t="s">
        <v>2075</v>
      </c>
      <c r="K196" s="29" t="s">
        <v>2076</v>
      </c>
      <c r="L196" s="36" t="s">
        <v>2077</v>
      </c>
      <c r="M196" s="29" t="s">
        <v>2078</v>
      </c>
      <c r="N196" s="26" t="s">
        <v>19</v>
      </c>
      <c r="O196" s="29" t="s">
        <v>2079</v>
      </c>
      <c r="P196" s="26" t="s">
        <v>19</v>
      </c>
      <c r="Q196" s="29" t="s">
        <v>2080</v>
      </c>
      <c r="R196" s="36" t="s">
        <v>2081</v>
      </c>
      <c r="S196" s="29" t="s">
        <v>2082</v>
      </c>
      <c r="T196" s="50"/>
    </row>
    <row r="197" spans="1:20" s="45" customFormat="1">
      <c r="A197" s="55"/>
      <c r="B197" s="55"/>
      <c r="C197" s="55"/>
      <c r="D197" s="55"/>
      <c r="E197" s="93" t="s">
        <v>507</v>
      </c>
      <c r="F197" s="94"/>
      <c r="G197" s="94"/>
      <c r="H197" s="94"/>
      <c r="I197" s="94"/>
      <c r="J197" s="94"/>
      <c r="K197" s="94"/>
      <c r="L197" s="94"/>
      <c r="M197" s="94"/>
      <c r="N197" s="94"/>
      <c r="O197" s="94"/>
      <c r="P197" s="94"/>
      <c r="Q197" s="94"/>
      <c r="R197" s="94"/>
      <c r="S197" s="94"/>
      <c r="T197" s="95"/>
    </row>
    <row r="198" spans="1:20" s="45" customFormat="1">
      <c r="A198" s="55"/>
      <c r="B198" s="55"/>
      <c r="C198" s="55"/>
      <c r="D198" s="55"/>
      <c r="E198" s="46" t="s">
        <v>5</v>
      </c>
      <c r="F198" s="30" t="s">
        <v>6</v>
      </c>
      <c r="G198" s="30" t="s">
        <v>7</v>
      </c>
      <c r="H198" s="30" t="s">
        <v>6</v>
      </c>
      <c r="I198" s="30" t="s">
        <v>8</v>
      </c>
      <c r="J198" s="30" t="s">
        <v>6</v>
      </c>
      <c r="K198" s="30" t="s">
        <v>9</v>
      </c>
      <c r="L198" s="30" t="s">
        <v>6</v>
      </c>
      <c r="M198" s="30" t="s">
        <v>10</v>
      </c>
      <c r="N198" s="30" t="s">
        <v>6</v>
      </c>
      <c r="O198" s="30" t="s">
        <v>11</v>
      </c>
      <c r="P198" s="30" t="s">
        <v>6</v>
      </c>
      <c r="Q198" s="30" t="s">
        <v>12</v>
      </c>
      <c r="R198" s="30" t="s">
        <v>6</v>
      </c>
      <c r="S198" s="30" t="s">
        <v>13</v>
      </c>
      <c r="T198" s="50" t="s">
        <v>6</v>
      </c>
    </row>
    <row r="199" spans="1:20" s="45" customFormat="1" ht="158.44999999999999">
      <c r="A199" s="51" t="s">
        <v>1503</v>
      </c>
      <c r="B199" s="56">
        <v>3</v>
      </c>
      <c r="C199" s="56">
        <v>10</v>
      </c>
      <c r="D199" s="57">
        <v>26</v>
      </c>
      <c r="E199" s="29" t="s">
        <v>2083</v>
      </c>
      <c r="F199" s="26" t="s">
        <v>19</v>
      </c>
      <c r="G199" s="29" t="s">
        <v>2084</v>
      </c>
      <c r="H199" s="26" t="s">
        <v>19</v>
      </c>
      <c r="I199" s="29" t="s">
        <v>2085</v>
      </c>
      <c r="J199" s="36" t="s">
        <v>2086</v>
      </c>
      <c r="K199" s="29" t="s">
        <v>2087</v>
      </c>
      <c r="L199" s="36" t="s">
        <v>2088</v>
      </c>
      <c r="M199" s="29" t="s">
        <v>2089</v>
      </c>
      <c r="N199" s="26" t="s">
        <v>19</v>
      </c>
      <c r="O199" s="29" t="s">
        <v>2090</v>
      </c>
      <c r="P199" s="26" t="s">
        <v>19</v>
      </c>
      <c r="Q199" s="29" t="s">
        <v>2091</v>
      </c>
      <c r="R199" s="26" t="s">
        <v>19</v>
      </c>
      <c r="S199" s="29" t="s">
        <v>2092</v>
      </c>
      <c r="T199" s="50"/>
    </row>
    <row r="200" spans="1:20" s="45" customFormat="1">
      <c r="A200" s="55"/>
      <c r="B200" s="55"/>
      <c r="C200" s="55"/>
      <c r="D200" s="55"/>
      <c r="E200" s="93" t="s">
        <v>507</v>
      </c>
      <c r="F200" s="94"/>
      <c r="G200" s="94"/>
      <c r="H200" s="94"/>
      <c r="I200" s="94"/>
      <c r="J200" s="94"/>
      <c r="K200" s="94"/>
      <c r="L200" s="94"/>
      <c r="M200" s="94"/>
      <c r="N200" s="94"/>
      <c r="O200" s="94"/>
      <c r="P200" s="94"/>
      <c r="Q200" s="94"/>
      <c r="R200" s="94"/>
      <c r="S200" s="94"/>
      <c r="T200" s="95"/>
    </row>
    <row r="201" spans="1:20" s="45" customFormat="1">
      <c r="A201" s="55"/>
      <c r="B201" s="55"/>
      <c r="C201" s="55"/>
      <c r="D201" s="55"/>
      <c r="E201" s="46" t="s">
        <v>5</v>
      </c>
      <c r="F201" s="30" t="s">
        <v>6</v>
      </c>
      <c r="G201" s="30" t="s">
        <v>7</v>
      </c>
      <c r="H201" s="30" t="s">
        <v>6</v>
      </c>
      <c r="I201" s="30" t="s">
        <v>8</v>
      </c>
      <c r="J201" s="30" t="s">
        <v>6</v>
      </c>
      <c r="K201" s="30" t="s">
        <v>9</v>
      </c>
      <c r="L201" s="30" t="s">
        <v>6</v>
      </c>
      <c r="M201" s="30" t="s">
        <v>10</v>
      </c>
      <c r="N201" s="30" t="s">
        <v>6</v>
      </c>
      <c r="O201" s="30" t="s">
        <v>11</v>
      </c>
      <c r="P201" s="30" t="s">
        <v>6</v>
      </c>
      <c r="Q201" s="30" t="s">
        <v>12</v>
      </c>
      <c r="R201" s="30" t="s">
        <v>6</v>
      </c>
      <c r="S201" s="30" t="s">
        <v>13</v>
      </c>
      <c r="T201" s="50" t="s">
        <v>6</v>
      </c>
    </row>
    <row r="202" spans="1:20" s="45" customFormat="1" ht="171.6">
      <c r="A202" s="51" t="s">
        <v>1503</v>
      </c>
      <c r="B202" s="56">
        <v>3</v>
      </c>
      <c r="C202" s="56">
        <v>10</v>
      </c>
      <c r="D202" s="57">
        <v>28</v>
      </c>
      <c r="E202" s="29" t="s">
        <v>2093</v>
      </c>
      <c r="F202" s="26" t="s">
        <v>19</v>
      </c>
      <c r="G202" s="29" t="s">
        <v>2094</v>
      </c>
      <c r="H202" s="26" t="s">
        <v>19</v>
      </c>
      <c r="I202" s="29" t="s">
        <v>2095</v>
      </c>
      <c r="J202" s="36" t="s">
        <v>2096</v>
      </c>
      <c r="K202" s="29" t="s">
        <v>2097</v>
      </c>
      <c r="L202" s="36" t="s">
        <v>2098</v>
      </c>
      <c r="M202" s="29" t="s">
        <v>2099</v>
      </c>
      <c r="N202" s="26" t="s">
        <v>19</v>
      </c>
      <c r="O202" s="29" t="s">
        <v>2100</v>
      </c>
      <c r="P202" s="26" t="s">
        <v>19</v>
      </c>
      <c r="Q202" s="29" t="s">
        <v>2101</v>
      </c>
      <c r="R202" s="36" t="s">
        <v>2102</v>
      </c>
      <c r="S202" s="29" t="s">
        <v>2103</v>
      </c>
      <c r="T202" s="50"/>
    </row>
    <row r="203" spans="1:20" s="45" customFormat="1">
      <c r="A203" s="55"/>
      <c r="B203" s="55"/>
      <c r="C203" s="55"/>
      <c r="D203" s="55"/>
      <c r="E203" s="93" t="s">
        <v>507</v>
      </c>
      <c r="F203" s="94"/>
      <c r="G203" s="94"/>
      <c r="H203" s="94"/>
      <c r="I203" s="94"/>
      <c r="J203" s="94"/>
      <c r="K203" s="94"/>
      <c r="L203" s="94"/>
      <c r="M203" s="94"/>
      <c r="N203" s="94"/>
      <c r="O203" s="94"/>
      <c r="P203" s="94"/>
      <c r="Q203" s="94"/>
      <c r="R203" s="94"/>
      <c r="S203" s="94"/>
      <c r="T203" s="95"/>
    </row>
    <row r="204" spans="1:20" s="45" customFormat="1">
      <c r="A204" s="55"/>
      <c r="B204" s="55"/>
      <c r="C204" s="55"/>
      <c r="D204" s="55"/>
      <c r="E204" s="46" t="s">
        <v>5</v>
      </c>
      <c r="F204" s="30" t="s">
        <v>6</v>
      </c>
      <c r="G204" s="30" t="s">
        <v>7</v>
      </c>
      <c r="H204" s="30" t="s">
        <v>6</v>
      </c>
      <c r="I204" s="30" t="s">
        <v>8</v>
      </c>
      <c r="J204" s="30" t="s">
        <v>6</v>
      </c>
      <c r="K204" s="30" t="s">
        <v>9</v>
      </c>
      <c r="L204" s="30" t="s">
        <v>6</v>
      </c>
      <c r="M204" s="30" t="s">
        <v>10</v>
      </c>
      <c r="N204" s="30" t="s">
        <v>6</v>
      </c>
      <c r="O204" s="30" t="s">
        <v>11</v>
      </c>
      <c r="P204" s="30" t="s">
        <v>6</v>
      </c>
      <c r="Q204" s="30" t="s">
        <v>12</v>
      </c>
      <c r="R204" s="30" t="s">
        <v>6</v>
      </c>
      <c r="S204" s="30" t="s">
        <v>13</v>
      </c>
      <c r="T204" s="50" t="s">
        <v>6</v>
      </c>
    </row>
    <row r="205" spans="1:20" s="45" customFormat="1" ht="198">
      <c r="A205" s="51" t="s">
        <v>1503</v>
      </c>
      <c r="B205" s="56">
        <v>3</v>
      </c>
      <c r="C205" s="56">
        <v>10</v>
      </c>
      <c r="D205" s="57">
        <v>29</v>
      </c>
      <c r="E205" s="29" t="s">
        <v>2104</v>
      </c>
      <c r="F205" s="26" t="s">
        <v>19</v>
      </c>
      <c r="G205" s="29" t="s">
        <v>2105</v>
      </c>
      <c r="H205" s="26" t="s">
        <v>19</v>
      </c>
      <c r="I205" s="29" t="s">
        <v>2106</v>
      </c>
      <c r="J205" s="36" t="s">
        <v>2107</v>
      </c>
      <c r="K205" s="29" t="s">
        <v>2108</v>
      </c>
      <c r="L205" s="36" t="s">
        <v>2109</v>
      </c>
      <c r="M205" s="29" t="s">
        <v>2110</v>
      </c>
      <c r="N205" s="26" t="s">
        <v>19</v>
      </c>
      <c r="O205" s="29" t="s">
        <v>2111</v>
      </c>
      <c r="P205" s="26" t="s">
        <v>19</v>
      </c>
      <c r="Q205" s="29" t="s">
        <v>2112</v>
      </c>
      <c r="R205" s="36" t="s">
        <v>2113</v>
      </c>
      <c r="S205" s="29" t="s">
        <v>2114</v>
      </c>
      <c r="T205" s="50"/>
    </row>
    <row r="206" spans="1:20" s="45" customFormat="1">
      <c r="A206" s="55"/>
      <c r="B206" s="55"/>
      <c r="C206" s="55"/>
      <c r="D206" s="55"/>
      <c r="E206" s="93" t="s">
        <v>603</v>
      </c>
      <c r="F206" s="94"/>
      <c r="G206" s="94"/>
      <c r="H206" s="94"/>
      <c r="I206" s="94"/>
      <c r="J206" s="94"/>
      <c r="K206" s="94"/>
      <c r="L206" s="94"/>
      <c r="M206" s="94"/>
      <c r="N206" s="94"/>
      <c r="O206" s="94"/>
      <c r="P206" s="94"/>
      <c r="Q206" s="94"/>
      <c r="R206" s="94"/>
      <c r="S206" s="94"/>
      <c r="T206" s="95"/>
    </row>
    <row r="207" spans="1:20" s="45" customFormat="1">
      <c r="A207" s="55"/>
      <c r="B207" s="55"/>
      <c r="C207" s="55"/>
      <c r="D207" s="55"/>
      <c r="E207" s="46" t="s">
        <v>5</v>
      </c>
      <c r="F207" s="30" t="s">
        <v>6</v>
      </c>
      <c r="G207" s="30" t="s">
        <v>7</v>
      </c>
      <c r="H207" s="30" t="s">
        <v>6</v>
      </c>
      <c r="I207" s="30" t="s">
        <v>8</v>
      </c>
      <c r="J207" s="30" t="s">
        <v>6</v>
      </c>
      <c r="K207" s="30" t="s">
        <v>9</v>
      </c>
      <c r="L207" s="30" t="s">
        <v>6</v>
      </c>
      <c r="M207" s="30" t="s">
        <v>10</v>
      </c>
      <c r="N207" s="30" t="s">
        <v>6</v>
      </c>
      <c r="O207" s="30" t="s">
        <v>11</v>
      </c>
      <c r="P207" s="30" t="s">
        <v>6</v>
      </c>
      <c r="Q207" s="30" t="s">
        <v>12</v>
      </c>
      <c r="R207" s="30" t="s">
        <v>6</v>
      </c>
      <c r="S207" s="30" t="s">
        <v>13</v>
      </c>
      <c r="T207" s="50" t="s">
        <v>6</v>
      </c>
    </row>
    <row r="208" spans="1:20" s="45" customFormat="1" ht="290.45">
      <c r="A208" s="51" t="s">
        <v>1503</v>
      </c>
      <c r="B208" s="56">
        <v>3</v>
      </c>
      <c r="C208" s="56">
        <v>11</v>
      </c>
      <c r="D208" s="57">
        <v>4</v>
      </c>
      <c r="E208" s="29" t="s">
        <v>2115</v>
      </c>
      <c r="F208" s="26" t="s">
        <v>19</v>
      </c>
      <c r="G208" s="29" t="s">
        <v>2116</v>
      </c>
      <c r="H208" s="26" t="s">
        <v>19</v>
      </c>
      <c r="I208" s="29" t="s">
        <v>309</v>
      </c>
      <c r="J208" s="26" t="s">
        <v>19</v>
      </c>
      <c r="K208" s="29" t="s">
        <v>2117</v>
      </c>
      <c r="L208" s="26" t="s">
        <v>2118</v>
      </c>
      <c r="M208" s="29" t="s">
        <v>2119</v>
      </c>
      <c r="N208" s="26" t="s">
        <v>2120</v>
      </c>
      <c r="O208" s="29" t="s">
        <v>2121</v>
      </c>
      <c r="P208" s="26" t="s">
        <v>2122</v>
      </c>
      <c r="Q208" s="29" t="s">
        <v>2123</v>
      </c>
      <c r="R208" s="63" t="s">
        <v>2124</v>
      </c>
      <c r="S208" s="29"/>
      <c r="T208" s="50"/>
    </row>
    <row r="209" spans="1:20" s="45" customFormat="1">
      <c r="A209" s="55"/>
      <c r="B209" s="55"/>
      <c r="C209" s="55"/>
      <c r="D209" s="55"/>
      <c r="E209" s="93" t="s">
        <v>603</v>
      </c>
      <c r="F209" s="94"/>
      <c r="G209" s="94"/>
      <c r="H209" s="94"/>
      <c r="I209" s="94"/>
      <c r="J209" s="94"/>
      <c r="K209" s="94"/>
      <c r="L209" s="94"/>
      <c r="M209" s="94"/>
      <c r="N209" s="94"/>
      <c r="O209" s="94"/>
      <c r="P209" s="94"/>
      <c r="Q209" s="94"/>
      <c r="R209" s="94"/>
      <c r="S209" s="94"/>
      <c r="T209" s="95"/>
    </row>
    <row r="210" spans="1:20" s="45" customFormat="1">
      <c r="A210" s="55"/>
      <c r="B210" s="55"/>
      <c r="C210" s="55"/>
      <c r="D210" s="55"/>
      <c r="E210" s="46" t="s">
        <v>5</v>
      </c>
      <c r="F210" s="30" t="s">
        <v>6</v>
      </c>
      <c r="G210" s="30" t="s">
        <v>7</v>
      </c>
      <c r="H210" s="30" t="s">
        <v>6</v>
      </c>
      <c r="I210" s="30" t="s">
        <v>8</v>
      </c>
      <c r="J210" s="30" t="s">
        <v>6</v>
      </c>
      <c r="K210" s="30" t="s">
        <v>9</v>
      </c>
      <c r="L210" s="30" t="s">
        <v>6</v>
      </c>
      <c r="M210" s="30" t="s">
        <v>10</v>
      </c>
      <c r="N210" s="30" t="s">
        <v>6</v>
      </c>
      <c r="O210" s="30" t="s">
        <v>11</v>
      </c>
      <c r="P210" s="30" t="s">
        <v>6</v>
      </c>
      <c r="Q210" s="30" t="s">
        <v>12</v>
      </c>
      <c r="R210" s="30" t="s">
        <v>6</v>
      </c>
      <c r="S210" s="30" t="s">
        <v>13</v>
      </c>
      <c r="T210" s="50" t="s">
        <v>6</v>
      </c>
    </row>
    <row r="211" spans="1:20" s="45" customFormat="1" ht="250.9">
      <c r="A211" s="51" t="s">
        <v>1503</v>
      </c>
      <c r="B211" s="56">
        <v>3</v>
      </c>
      <c r="C211" s="56">
        <v>11</v>
      </c>
      <c r="D211" s="57">
        <v>9</v>
      </c>
      <c r="E211" s="29" t="s">
        <v>2125</v>
      </c>
      <c r="F211" s="26" t="s">
        <v>19</v>
      </c>
      <c r="G211" s="29" t="s">
        <v>2126</v>
      </c>
      <c r="H211" s="26" t="s">
        <v>19</v>
      </c>
      <c r="I211" s="29" t="s">
        <v>309</v>
      </c>
      <c r="J211" s="26" t="s">
        <v>19</v>
      </c>
      <c r="K211" s="29" t="s">
        <v>2127</v>
      </c>
      <c r="L211" s="26" t="s">
        <v>19</v>
      </c>
      <c r="M211" s="29" t="s">
        <v>2128</v>
      </c>
      <c r="N211" s="26" t="s">
        <v>19</v>
      </c>
      <c r="O211" s="29" t="s">
        <v>2129</v>
      </c>
      <c r="P211" s="26" t="s">
        <v>19</v>
      </c>
      <c r="Q211" s="29" t="s">
        <v>2130</v>
      </c>
      <c r="R211" s="63" t="s">
        <v>2124</v>
      </c>
      <c r="S211" s="29"/>
      <c r="T211" s="50"/>
    </row>
    <row r="212" spans="1:20" s="45" customFormat="1">
      <c r="A212" s="55"/>
      <c r="B212" s="55"/>
      <c r="C212" s="55"/>
      <c r="D212" s="55"/>
      <c r="E212" s="93" t="s">
        <v>603</v>
      </c>
      <c r="F212" s="94"/>
      <c r="G212" s="94"/>
      <c r="H212" s="94"/>
      <c r="I212" s="94"/>
      <c r="J212" s="94"/>
      <c r="K212" s="94"/>
      <c r="L212" s="94"/>
      <c r="M212" s="94"/>
      <c r="N212" s="94"/>
      <c r="O212" s="94"/>
      <c r="P212" s="94"/>
      <c r="Q212" s="94"/>
      <c r="R212" s="94"/>
      <c r="S212" s="94"/>
      <c r="T212" s="95"/>
    </row>
    <row r="213" spans="1:20" s="45" customFormat="1">
      <c r="A213" s="55"/>
      <c r="B213" s="55"/>
      <c r="C213" s="55"/>
      <c r="D213" s="55"/>
      <c r="E213" s="46" t="s">
        <v>5</v>
      </c>
      <c r="F213" s="30" t="s">
        <v>6</v>
      </c>
      <c r="G213" s="30" t="s">
        <v>7</v>
      </c>
      <c r="H213" s="30" t="s">
        <v>6</v>
      </c>
      <c r="I213" s="30" t="s">
        <v>8</v>
      </c>
      <c r="J213" s="30" t="s">
        <v>6</v>
      </c>
      <c r="K213" s="30" t="s">
        <v>9</v>
      </c>
      <c r="L213" s="30" t="s">
        <v>6</v>
      </c>
      <c r="M213" s="30" t="s">
        <v>10</v>
      </c>
      <c r="N213" s="30" t="s">
        <v>6</v>
      </c>
      <c r="O213" s="30" t="s">
        <v>11</v>
      </c>
      <c r="P213" s="30" t="s">
        <v>6</v>
      </c>
      <c r="Q213" s="30" t="s">
        <v>12</v>
      </c>
      <c r="R213" s="30" t="s">
        <v>6</v>
      </c>
      <c r="S213" s="30" t="s">
        <v>13</v>
      </c>
      <c r="T213" s="50" t="s">
        <v>6</v>
      </c>
    </row>
    <row r="214" spans="1:20" s="45" customFormat="1" ht="277.14999999999998">
      <c r="A214" s="51" t="s">
        <v>1503</v>
      </c>
      <c r="B214" s="56">
        <v>3</v>
      </c>
      <c r="C214" s="56">
        <v>11</v>
      </c>
      <c r="D214" s="57">
        <v>14</v>
      </c>
      <c r="E214" s="29" t="s">
        <v>2131</v>
      </c>
      <c r="F214" s="26" t="s">
        <v>19</v>
      </c>
      <c r="G214" s="29" t="s">
        <v>2132</v>
      </c>
      <c r="H214" s="26" t="s">
        <v>19</v>
      </c>
      <c r="I214" s="29" t="s">
        <v>1789</v>
      </c>
      <c r="J214" s="26" t="s">
        <v>19</v>
      </c>
      <c r="K214" s="29" t="s">
        <v>2133</v>
      </c>
      <c r="L214" s="26" t="s">
        <v>19</v>
      </c>
      <c r="M214" s="29" t="s">
        <v>2134</v>
      </c>
      <c r="N214" s="26" t="s">
        <v>19</v>
      </c>
      <c r="O214" s="29" t="s">
        <v>2135</v>
      </c>
      <c r="P214" s="26" t="s">
        <v>19</v>
      </c>
      <c r="Q214" s="29" t="s">
        <v>2136</v>
      </c>
      <c r="R214" s="63" t="s">
        <v>2124</v>
      </c>
      <c r="S214" s="29"/>
      <c r="T214" s="50"/>
    </row>
    <row r="215" spans="1:20" s="45" customFormat="1">
      <c r="A215" s="55"/>
      <c r="B215" s="55"/>
      <c r="C215" s="55"/>
      <c r="D215" s="55"/>
      <c r="E215" s="93" t="s">
        <v>603</v>
      </c>
      <c r="F215" s="94"/>
      <c r="G215" s="94"/>
      <c r="H215" s="94"/>
      <c r="I215" s="94"/>
      <c r="J215" s="94"/>
      <c r="K215" s="94"/>
      <c r="L215" s="94"/>
      <c r="M215" s="94"/>
      <c r="N215" s="94"/>
      <c r="O215" s="94"/>
      <c r="P215" s="94"/>
      <c r="Q215" s="94"/>
      <c r="R215" s="94"/>
      <c r="S215" s="94"/>
      <c r="T215" s="95"/>
    </row>
    <row r="216" spans="1:20" s="45" customFormat="1">
      <c r="A216" s="55"/>
      <c r="B216" s="55"/>
      <c r="C216" s="55"/>
      <c r="D216" s="55"/>
      <c r="E216" s="46" t="s">
        <v>5</v>
      </c>
      <c r="F216" s="30" t="s">
        <v>6</v>
      </c>
      <c r="G216" s="30" t="s">
        <v>7</v>
      </c>
      <c r="H216" s="30" t="s">
        <v>6</v>
      </c>
      <c r="I216" s="30" t="s">
        <v>8</v>
      </c>
      <c r="J216" s="30" t="s">
        <v>6</v>
      </c>
      <c r="K216" s="30" t="s">
        <v>9</v>
      </c>
      <c r="L216" s="30" t="s">
        <v>6</v>
      </c>
      <c r="M216" s="30" t="s">
        <v>10</v>
      </c>
      <c r="N216" s="30" t="s">
        <v>6</v>
      </c>
      <c r="O216" s="30" t="s">
        <v>11</v>
      </c>
      <c r="P216" s="30" t="s">
        <v>6</v>
      </c>
      <c r="Q216" s="30" t="s">
        <v>12</v>
      </c>
      <c r="R216" s="30" t="s">
        <v>6</v>
      </c>
      <c r="S216" s="30" t="s">
        <v>13</v>
      </c>
      <c r="T216" s="50" t="s">
        <v>6</v>
      </c>
    </row>
    <row r="217" spans="1:20" s="45" customFormat="1" ht="224.45">
      <c r="A217" s="51" t="s">
        <v>1503</v>
      </c>
      <c r="B217" s="56">
        <v>3</v>
      </c>
      <c r="C217" s="56">
        <v>11</v>
      </c>
      <c r="D217" s="57">
        <v>17</v>
      </c>
      <c r="E217" s="29" t="s">
        <v>2137</v>
      </c>
      <c r="F217" s="26" t="s">
        <v>19</v>
      </c>
      <c r="G217" s="29" t="s">
        <v>2138</v>
      </c>
      <c r="H217" s="26" t="s">
        <v>19</v>
      </c>
      <c r="I217" s="29" t="s">
        <v>2139</v>
      </c>
      <c r="J217" s="26" t="s">
        <v>19</v>
      </c>
      <c r="K217" s="29" t="s">
        <v>2140</v>
      </c>
      <c r="L217" s="34" t="s">
        <v>2141</v>
      </c>
      <c r="M217" s="29" t="s">
        <v>2142</v>
      </c>
      <c r="N217" s="26" t="s">
        <v>19</v>
      </c>
      <c r="O217" s="29" t="s">
        <v>2143</v>
      </c>
      <c r="P217" s="26" t="s">
        <v>19</v>
      </c>
      <c r="Q217" s="29" t="s">
        <v>2144</v>
      </c>
      <c r="R217" s="63" t="s">
        <v>2124</v>
      </c>
      <c r="S217" s="29"/>
      <c r="T217" s="50"/>
    </row>
    <row r="218" spans="1:20" s="45" customFormat="1">
      <c r="A218" s="55"/>
      <c r="B218" s="55"/>
      <c r="C218" s="55"/>
      <c r="D218" s="55"/>
      <c r="E218" s="93" t="s">
        <v>603</v>
      </c>
      <c r="F218" s="94"/>
      <c r="G218" s="94"/>
      <c r="H218" s="94"/>
      <c r="I218" s="94"/>
      <c r="J218" s="94"/>
      <c r="K218" s="94"/>
      <c r="L218" s="94"/>
      <c r="M218" s="94"/>
      <c r="N218" s="94"/>
      <c r="O218" s="94"/>
      <c r="P218" s="94"/>
      <c r="Q218" s="94"/>
      <c r="R218" s="94"/>
      <c r="S218" s="94"/>
      <c r="T218" s="95"/>
    </row>
    <row r="219" spans="1:20" s="45" customFormat="1">
      <c r="A219" s="55"/>
      <c r="B219" s="55"/>
      <c r="C219" s="55"/>
      <c r="D219" s="55"/>
      <c r="E219" s="46" t="s">
        <v>5</v>
      </c>
      <c r="F219" s="30" t="s">
        <v>6</v>
      </c>
      <c r="G219" s="30" t="s">
        <v>7</v>
      </c>
      <c r="H219" s="30" t="s">
        <v>6</v>
      </c>
      <c r="I219" s="30" t="s">
        <v>8</v>
      </c>
      <c r="J219" s="30" t="s">
        <v>6</v>
      </c>
      <c r="K219" s="30" t="s">
        <v>9</v>
      </c>
      <c r="L219" s="30" t="s">
        <v>6</v>
      </c>
      <c r="M219" s="30" t="s">
        <v>10</v>
      </c>
      <c r="N219" s="30" t="s">
        <v>6</v>
      </c>
      <c r="O219" s="30" t="s">
        <v>11</v>
      </c>
      <c r="P219" s="30" t="s">
        <v>6</v>
      </c>
      <c r="Q219" s="30" t="s">
        <v>12</v>
      </c>
      <c r="R219" s="30" t="s">
        <v>6</v>
      </c>
      <c r="S219" s="30" t="s">
        <v>13</v>
      </c>
      <c r="T219" s="50" t="s">
        <v>6</v>
      </c>
    </row>
    <row r="220" spans="1:20" s="45" customFormat="1" ht="224.45">
      <c r="A220" s="51" t="s">
        <v>1503</v>
      </c>
      <c r="B220" s="56">
        <v>3</v>
      </c>
      <c r="C220" s="56">
        <v>11</v>
      </c>
      <c r="D220" s="57">
        <v>22</v>
      </c>
      <c r="E220" s="29" t="s">
        <v>2145</v>
      </c>
      <c r="F220" s="26" t="s">
        <v>19</v>
      </c>
      <c r="G220" s="29" t="s">
        <v>2146</v>
      </c>
      <c r="H220" s="26" t="s">
        <v>19</v>
      </c>
      <c r="I220" s="29" t="s">
        <v>309</v>
      </c>
      <c r="J220" s="26" t="s">
        <v>19</v>
      </c>
      <c r="K220" s="29" t="s">
        <v>2147</v>
      </c>
      <c r="L220" s="26" t="s">
        <v>19</v>
      </c>
      <c r="M220" s="29" t="s">
        <v>2148</v>
      </c>
      <c r="N220" s="26" t="s">
        <v>19</v>
      </c>
      <c r="O220" s="29" t="s">
        <v>2149</v>
      </c>
      <c r="P220" s="26" t="s">
        <v>19</v>
      </c>
      <c r="Q220" s="29" t="s">
        <v>2150</v>
      </c>
      <c r="R220" s="40" t="s">
        <v>2151</v>
      </c>
      <c r="S220" s="29"/>
      <c r="T220" s="50"/>
    </row>
    <row r="221" spans="1:20" s="45" customFormat="1">
      <c r="A221" s="55"/>
      <c r="B221" s="55"/>
      <c r="C221" s="55"/>
      <c r="D221" s="55"/>
      <c r="E221" s="93" t="s">
        <v>603</v>
      </c>
      <c r="F221" s="94"/>
      <c r="G221" s="94"/>
      <c r="H221" s="94"/>
      <c r="I221" s="94"/>
      <c r="J221" s="94"/>
      <c r="K221" s="94"/>
      <c r="L221" s="94"/>
      <c r="M221" s="94"/>
      <c r="N221" s="94"/>
      <c r="O221" s="94"/>
      <c r="P221" s="94"/>
      <c r="Q221" s="94"/>
      <c r="R221" s="94"/>
      <c r="S221" s="94"/>
      <c r="T221" s="95"/>
    </row>
    <row r="222" spans="1:20" s="45" customFormat="1">
      <c r="A222" s="55"/>
      <c r="B222" s="55"/>
      <c r="C222" s="55"/>
      <c r="D222" s="55"/>
      <c r="E222" s="46" t="s">
        <v>5</v>
      </c>
      <c r="F222" s="30" t="s">
        <v>6</v>
      </c>
      <c r="G222" s="30" t="s">
        <v>7</v>
      </c>
      <c r="H222" s="30" t="s">
        <v>6</v>
      </c>
      <c r="I222" s="30" t="s">
        <v>8</v>
      </c>
      <c r="J222" s="30" t="s">
        <v>6</v>
      </c>
      <c r="K222" s="30" t="s">
        <v>9</v>
      </c>
      <c r="L222" s="30" t="s">
        <v>6</v>
      </c>
      <c r="M222" s="30" t="s">
        <v>10</v>
      </c>
      <c r="N222" s="30" t="s">
        <v>6</v>
      </c>
      <c r="O222" s="30" t="s">
        <v>11</v>
      </c>
      <c r="P222" s="30" t="s">
        <v>6</v>
      </c>
      <c r="Q222" s="30" t="s">
        <v>12</v>
      </c>
      <c r="R222" s="30" t="s">
        <v>6</v>
      </c>
      <c r="S222" s="30" t="s">
        <v>13</v>
      </c>
      <c r="T222" s="50" t="s">
        <v>6</v>
      </c>
    </row>
    <row r="223" spans="1:20" s="45" customFormat="1" ht="237.6">
      <c r="A223" s="51" t="s">
        <v>1503</v>
      </c>
      <c r="B223" s="56">
        <v>3</v>
      </c>
      <c r="C223" s="56">
        <v>11</v>
      </c>
      <c r="D223" s="57">
        <v>23</v>
      </c>
      <c r="E223" s="29" t="s">
        <v>2152</v>
      </c>
      <c r="F223" s="26" t="s">
        <v>19</v>
      </c>
      <c r="G223" s="29" t="s">
        <v>2153</v>
      </c>
      <c r="H223" s="26" t="s">
        <v>19</v>
      </c>
      <c r="I223" s="29" t="s">
        <v>309</v>
      </c>
      <c r="J223" s="26" t="s">
        <v>19</v>
      </c>
      <c r="K223" s="29" t="s">
        <v>2154</v>
      </c>
      <c r="L223" s="34" t="s">
        <v>2155</v>
      </c>
      <c r="M223" s="29" t="s">
        <v>2156</v>
      </c>
      <c r="N223" s="26" t="s">
        <v>19</v>
      </c>
      <c r="O223" s="29" t="s">
        <v>2157</v>
      </c>
      <c r="P223" s="26" t="s">
        <v>19</v>
      </c>
      <c r="Q223" s="29" t="s">
        <v>2158</v>
      </c>
      <c r="R223" s="34" t="s">
        <v>2159</v>
      </c>
      <c r="S223" s="29"/>
      <c r="T223" s="50"/>
    </row>
    <row r="224" spans="1:20" s="45" customFormat="1">
      <c r="A224" s="55"/>
      <c r="B224" s="55"/>
      <c r="C224" s="55"/>
      <c r="D224" s="55"/>
      <c r="E224" s="93" t="s">
        <v>603</v>
      </c>
      <c r="F224" s="94"/>
      <c r="G224" s="94"/>
      <c r="H224" s="94"/>
      <c r="I224" s="94"/>
      <c r="J224" s="94"/>
      <c r="K224" s="94"/>
      <c r="L224" s="94"/>
      <c r="M224" s="94"/>
      <c r="N224" s="94"/>
      <c r="O224" s="94"/>
      <c r="P224" s="94"/>
      <c r="Q224" s="94"/>
      <c r="R224" s="94"/>
      <c r="S224" s="94"/>
      <c r="T224" s="95"/>
    </row>
    <row r="225" spans="1:20" s="45" customFormat="1">
      <c r="A225" s="55"/>
      <c r="B225" s="55"/>
      <c r="C225" s="55"/>
      <c r="D225" s="55"/>
      <c r="E225" s="46" t="s">
        <v>5</v>
      </c>
      <c r="F225" s="30" t="s">
        <v>6</v>
      </c>
      <c r="G225" s="30" t="s">
        <v>7</v>
      </c>
      <c r="H225" s="30" t="s">
        <v>6</v>
      </c>
      <c r="I225" s="30" t="s">
        <v>8</v>
      </c>
      <c r="J225" s="30" t="s">
        <v>6</v>
      </c>
      <c r="K225" s="30" t="s">
        <v>9</v>
      </c>
      <c r="L225" s="30" t="s">
        <v>6</v>
      </c>
      <c r="M225" s="30" t="s">
        <v>10</v>
      </c>
      <c r="N225" s="30" t="s">
        <v>6</v>
      </c>
      <c r="O225" s="30" t="s">
        <v>11</v>
      </c>
      <c r="P225" s="30" t="s">
        <v>6</v>
      </c>
      <c r="Q225" s="30" t="s">
        <v>12</v>
      </c>
      <c r="R225" s="30" t="s">
        <v>6</v>
      </c>
      <c r="S225" s="30" t="s">
        <v>13</v>
      </c>
      <c r="T225" s="50" t="s">
        <v>6</v>
      </c>
    </row>
    <row r="226" spans="1:20" s="45" customFormat="1" ht="316.89999999999998">
      <c r="A226" s="51" t="s">
        <v>1503</v>
      </c>
      <c r="B226" s="56">
        <v>3</v>
      </c>
      <c r="C226" s="56">
        <v>11</v>
      </c>
      <c r="D226" s="57">
        <v>27</v>
      </c>
      <c r="E226" s="29" t="s">
        <v>2160</v>
      </c>
      <c r="F226" s="26" t="s">
        <v>19</v>
      </c>
      <c r="G226" s="29" t="s">
        <v>2161</v>
      </c>
      <c r="H226" s="26" t="s">
        <v>19</v>
      </c>
      <c r="I226" s="29" t="s">
        <v>2162</v>
      </c>
      <c r="J226" s="26" t="s">
        <v>19</v>
      </c>
      <c r="K226" s="29" t="s">
        <v>2163</v>
      </c>
      <c r="L226" s="26" t="s">
        <v>19</v>
      </c>
      <c r="M226" s="29" t="s">
        <v>2164</v>
      </c>
      <c r="N226" s="26" t="s">
        <v>19</v>
      </c>
      <c r="O226" s="29" t="s">
        <v>2165</v>
      </c>
      <c r="P226" s="26" t="s">
        <v>19</v>
      </c>
      <c r="Q226" s="29" t="s">
        <v>2166</v>
      </c>
      <c r="R226" s="26" t="s">
        <v>19</v>
      </c>
      <c r="S226" s="29"/>
      <c r="T226" s="68"/>
    </row>
    <row r="227" spans="1:20" s="45" customFormat="1">
      <c r="A227" s="55"/>
      <c r="B227" s="55"/>
      <c r="C227" s="55"/>
      <c r="D227" s="55"/>
      <c r="E227" s="93" t="s">
        <v>603</v>
      </c>
      <c r="F227" s="94"/>
      <c r="G227" s="94"/>
      <c r="H227" s="94"/>
      <c r="I227" s="94"/>
      <c r="J227" s="94"/>
      <c r="K227" s="94"/>
      <c r="L227" s="94"/>
      <c r="M227" s="94"/>
      <c r="N227" s="94"/>
      <c r="O227" s="94"/>
      <c r="P227" s="94"/>
      <c r="Q227" s="94"/>
      <c r="R227" s="94"/>
      <c r="S227" s="94"/>
      <c r="T227" s="95"/>
    </row>
    <row r="228" spans="1:20" s="45" customFormat="1">
      <c r="A228" s="55"/>
      <c r="B228" s="55"/>
      <c r="C228" s="55"/>
      <c r="D228" s="55"/>
      <c r="E228" s="46" t="s">
        <v>5</v>
      </c>
      <c r="F228" s="30" t="s">
        <v>6</v>
      </c>
      <c r="G228" s="30" t="s">
        <v>7</v>
      </c>
      <c r="H228" s="30" t="s">
        <v>6</v>
      </c>
      <c r="I228" s="30" t="s">
        <v>8</v>
      </c>
      <c r="J228" s="30" t="s">
        <v>6</v>
      </c>
      <c r="K228" s="30" t="s">
        <v>9</v>
      </c>
      <c r="L228" s="30" t="s">
        <v>6</v>
      </c>
      <c r="M228" s="30" t="s">
        <v>10</v>
      </c>
      <c r="N228" s="30" t="s">
        <v>6</v>
      </c>
      <c r="O228" s="30" t="s">
        <v>11</v>
      </c>
      <c r="P228" s="30" t="s">
        <v>6</v>
      </c>
      <c r="Q228" s="30" t="s">
        <v>12</v>
      </c>
      <c r="R228" s="30" t="s">
        <v>6</v>
      </c>
      <c r="S228" s="30" t="s">
        <v>13</v>
      </c>
      <c r="T228" s="50" t="s">
        <v>6</v>
      </c>
    </row>
    <row r="229" spans="1:20" s="45" customFormat="1" ht="264">
      <c r="A229" s="51" t="s">
        <v>1503</v>
      </c>
      <c r="B229" s="56">
        <v>3</v>
      </c>
      <c r="C229" s="56">
        <v>11</v>
      </c>
      <c r="D229" s="57">
        <v>30</v>
      </c>
      <c r="E229" s="29" t="s">
        <v>2167</v>
      </c>
      <c r="F229" s="26" t="s">
        <v>19</v>
      </c>
      <c r="G229" s="29" t="s">
        <v>2168</v>
      </c>
      <c r="H229" s="26" t="s">
        <v>19</v>
      </c>
      <c r="I229" s="29" t="s">
        <v>309</v>
      </c>
      <c r="J229" s="26" t="s">
        <v>19</v>
      </c>
      <c r="K229" s="29" t="s">
        <v>2169</v>
      </c>
      <c r="L229" s="26" t="s">
        <v>19</v>
      </c>
      <c r="M229" s="29" t="s">
        <v>2170</v>
      </c>
      <c r="N229" s="26" t="s">
        <v>19</v>
      </c>
      <c r="O229" s="29" t="s">
        <v>2171</v>
      </c>
      <c r="P229" s="26" t="s">
        <v>19</v>
      </c>
      <c r="Q229" s="29" t="s">
        <v>2172</v>
      </c>
      <c r="R229" s="26" t="s">
        <v>19</v>
      </c>
      <c r="S229" s="29"/>
      <c r="T229" s="50"/>
    </row>
    <row r="230" spans="1:20" s="45" customFormat="1">
      <c r="A230" s="55"/>
      <c r="B230" s="55"/>
      <c r="C230" s="55"/>
      <c r="D230" s="55"/>
      <c r="E230" s="93" t="s">
        <v>665</v>
      </c>
      <c r="F230" s="94"/>
      <c r="G230" s="94"/>
      <c r="H230" s="94"/>
      <c r="I230" s="94"/>
      <c r="J230" s="94"/>
      <c r="K230" s="94"/>
      <c r="L230" s="94"/>
      <c r="M230" s="94"/>
      <c r="N230" s="94"/>
      <c r="O230" s="94"/>
      <c r="P230" s="94"/>
      <c r="Q230" s="94"/>
      <c r="R230" s="94"/>
      <c r="S230" s="94"/>
      <c r="T230" s="95"/>
    </row>
    <row r="231" spans="1:20" s="45" customFormat="1">
      <c r="A231" s="55"/>
      <c r="B231" s="55"/>
      <c r="C231" s="55"/>
      <c r="D231" s="55"/>
      <c r="E231" s="46" t="s">
        <v>5</v>
      </c>
      <c r="F231" s="30" t="s">
        <v>6</v>
      </c>
      <c r="G231" s="30" t="s">
        <v>7</v>
      </c>
      <c r="H231" s="30" t="s">
        <v>6</v>
      </c>
      <c r="I231" s="30" t="s">
        <v>8</v>
      </c>
      <c r="J231" s="30" t="s">
        <v>6</v>
      </c>
      <c r="K231" s="30" t="s">
        <v>9</v>
      </c>
      <c r="L231" s="30" t="s">
        <v>6</v>
      </c>
      <c r="M231" s="30" t="s">
        <v>10</v>
      </c>
      <c r="N231" s="30" t="s">
        <v>6</v>
      </c>
      <c r="O231" s="30" t="s">
        <v>11</v>
      </c>
      <c r="P231" s="30" t="s">
        <v>6</v>
      </c>
      <c r="Q231" s="30" t="s">
        <v>12</v>
      </c>
      <c r="R231" s="30" t="s">
        <v>6</v>
      </c>
      <c r="S231" s="30" t="s">
        <v>13</v>
      </c>
      <c r="T231" s="50" t="s">
        <v>6</v>
      </c>
    </row>
    <row r="232" spans="1:20" s="45" customFormat="1" ht="211.15">
      <c r="A232" s="51" t="s">
        <v>1503</v>
      </c>
      <c r="B232" s="56">
        <v>3</v>
      </c>
      <c r="C232" s="56">
        <v>12</v>
      </c>
      <c r="D232" s="57">
        <v>4</v>
      </c>
      <c r="E232" s="29" t="s">
        <v>2173</v>
      </c>
      <c r="F232" s="26"/>
      <c r="G232" s="29" t="s">
        <v>2174</v>
      </c>
      <c r="H232" s="36" t="s">
        <v>2175</v>
      </c>
      <c r="I232" s="29" t="s">
        <v>2176</v>
      </c>
      <c r="J232" s="34"/>
      <c r="K232" s="29" t="s">
        <v>2177</v>
      </c>
      <c r="L232" s="26"/>
      <c r="M232" s="29" t="s">
        <v>2178</v>
      </c>
      <c r="N232" s="26" t="s">
        <v>2179</v>
      </c>
      <c r="O232" s="29" t="s">
        <v>2180</v>
      </c>
      <c r="P232" s="26"/>
      <c r="Q232" s="29" t="s">
        <v>128</v>
      </c>
      <c r="R232" s="26"/>
      <c r="S232" s="29" t="s">
        <v>2181</v>
      </c>
      <c r="T232" s="50"/>
    </row>
    <row r="233" spans="1:20" s="45" customFormat="1">
      <c r="A233" s="55"/>
      <c r="B233" s="55"/>
      <c r="C233" s="55"/>
      <c r="D233" s="55"/>
      <c r="E233" s="93" t="s">
        <v>665</v>
      </c>
      <c r="F233" s="94"/>
      <c r="G233" s="94"/>
      <c r="H233" s="94"/>
      <c r="I233" s="94"/>
      <c r="J233" s="94"/>
      <c r="K233" s="94"/>
      <c r="L233" s="94"/>
      <c r="M233" s="94"/>
      <c r="N233" s="94"/>
      <c r="O233" s="94"/>
      <c r="P233" s="94"/>
      <c r="Q233" s="94"/>
      <c r="R233" s="94"/>
      <c r="S233" s="94"/>
      <c r="T233" s="95"/>
    </row>
    <row r="234" spans="1:20" s="45" customFormat="1">
      <c r="A234" s="55"/>
      <c r="B234" s="55"/>
      <c r="C234" s="55"/>
      <c r="D234" s="55"/>
      <c r="E234" s="46" t="s">
        <v>5</v>
      </c>
      <c r="F234" s="30" t="s">
        <v>6</v>
      </c>
      <c r="G234" s="30" t="s">
        <v>7</v>
      </c>
      <c r="H234" s="30" t="s">
        <v>6</v>
      </c>
      <c r="I234" s="30" t="s">
        <v>8</v>
      </c>
      <c r="J234" s="30" t="s">
        <v>6</v>
      </c>
      <c r="K234" s="30" t="s">
        <v>9</v>
      </c>
      <c r="L234" s="30" t="s">
        <v>6</v>
      </c>
      <c r="M234" s="30" t="s">
        <v>10</v>
      </c>
      <c r="N234" s="30" t="s">
        <v>6</v>
      </c>
      <c r="O234" s="30" t="s">
        <v>11</v>
      </c>
      <c r="P234" s="30" t="s">
        <v>6</v>
      </c>
      <c r="Q234" s="30" t="s">
        <v>12</v>
      </c>
      <c r="R234" s="30" t="s">
        <v>6</v>
      </c>
      <c r="S234" s="30" t="s">
        <v>13</v>
      </c>
      <c r="T234" s="50" t="s">
        <v>6</v>
      </c>
    </row>
    <row r="235" spans="1:20" s="45" customFormat="1" ht="158.44999999999999">
      <c r="A235" s="51" t="s">
        <v>1503</v>
      </c>
      <c r="B235" s="56">
        <v>3</v>
      </c>
      <c r="C235" s="56">
        <v>12</v>
      </c>
      <c r="D235" s="57">
        <v>9</v>
      </c>
      <c r="E235" s="29" t="s">
        <v>2182</v>
      </c>
      <c r="F235" s="26"/>
      <c r="G235" s="29" t="s">
        <v>2183</v>
      </c>
      <c r="H235" s="36" t="s">
        <v>2175</v>
      </c>
      <c r="I235" s="29" t="s">
        <v>2184</v>
      </c>
      <c r="J235" s="34"/>
      <c r="K235" s="29" t="s">
        <v>2185</v>
      </c>
      <c r="L235" s="26"/>
      <c r="M235" s="29" t="s">
        <v>2186</v>
      </c>
      <c r="N235" s="26"/>
      <c r="O235" s="29" t="s">
        <v>2187</v>
      </c>
      <c r="P235" s="36" t="s">
        <v>2188</v>
      </c>
      <c r="Q235" s="29" t="s">
        <v>128</v>
      </c>
      <c r="R235" s="26"/>
      <c r="S235" s="29" t="s">
        <v>2189</v>
      </c>
      <c r="T235" s="50"/>
    </row>
    <row r="236" spans="1:20" s="45" customFormat="1">
      <c r="A236" s="55"/>
      <c r="B236" s="55"/>
      <c r="C236" s="55"/>
      <c r="D236" s="55"/>
      <c r="E236" s="93" t="s">
        <v>665</v>
      </c>
      <c r="F236" s="94"/>
      <c r="G236" s="94"/>
      <c r="H236" s="94"/>
      <c r="I236" s="94"/>
      <c r="J236" s="94"/>
      <c r="K236" s="94"/>
      <c r="L236" s="94"/>
      <c r="M236" s="94"/>
      <c r="N236" s="94"/>
      <c r="O236" s="94"/>
      <c r="P236" s="94"/>
      <c r="Q236" s="94"/>
      <c r="R236" s="94"/>
      <c r="S236" s="94"/>
      <c r="T236" s="95"/>
    </row>
    <row r="237" spans="1:20" s="45" customFormat="1">
      <c r="A237" s="55"/>
      <c r="B237" s="55"/>
      <c r="C237" s="55"/>
      <c r="D237" s="55"/>
      <c r="E237" s="46" t="s">
        <v>5</v>
      </c>
      <c r="F237" s="30" t="s">
        <v>6</v>
      </c>
      <c r="G237" s="30" t="s">
        <v>7</v>
      </c>
      <c r="H237" s="30" t="s">
        <v>6</v>
      </c>
      <c r="I237" s="30" t="s">
        <v>8</v>
      </c>
      <c r="J237" s="30" t="s">
        <v>6</v>
      </c>
      <c r="K237" s="30" t="s">
        <v>9</v>
      </c>
      <c r="L237" s="30" t="s">
        <v>6</v>
      </c>
      <c r="M237" s="30" t="s">
        <v>10</v>
      </c>
      <c r="N237" s="30" t="s">
        <v>6</v>
      </c>
      <c r="O237" s="30" t="s">
        <v>11</v>
      </c>
      <c r="P237" s="30" t="s">
        <v>6</v>
      </c>
      <c r="Q237" s="30" t="s">
        <v>12</v>
      </c>
      <c r="R237" s="30" t="s">
        <v>6</v>
      </c>
      <c r="S237" s="30" t="s">
        <v>13</v>
      </c>
      <c r="T237" s="50" t="s">
        <v>6</v>
      </c>
    </row>
    <row r="238" spans="1:20" s="45" customFormat="1" ht="158.44999999999999">
      <c r="A238" s="51" t="s">
        <v>1503</v>
      </c>
      <c r="B238" s="56">
        <v>3</v>
      </c>
      <c r="C238" s="56">
        <v>12</v>
      </c>
      <c r="D238" s="57">
        <v>18</v>
      </c>
      <c r="E238" s="29" t="s">
        <v>2190</v>
      </c>
      <c r="F238" s="34" t="s">
        <v>2191</v>
      </c>
      <c r="G238" s="29" t="s">
        <v>2192</v>
      </c>
      <c r="H238" s="36" t="s">
        <v>2175</v>
      </c>
      <c r="I238" s="29" t="s">
        <v>2193</v>
      </c>
      <c r="J238" s="34"/>
      <c r="K238" s="29" t="s">
        <v>2194</v>
      </c>
      <c r="L238" s="26"/>
      <c r="M238" s="29" t="s">
        <v>2195</v>
      </c>
      <c r="N238" s="26"/>
      <c r="O238" s="29" t="s">
        <v>2196</v>
      </c>
      <c r="P238" s="26"/>
      <c r="Q238" s="29" t="s">
        <v>2197</v>
      </c>
      <c r="R238" s="36" t="s">
        <v>2198</v>
      </c>
      <c r="S238" s="29" t="s">
        <v>2199</v>
      </c>
      <c r="T238" s="50"/>
    </row>
    <row r="239" spans="1:20" s="45" customFormat="1">
      <c r="A239" s="55"/>
      <c r="B239" s="55"/>
      <c r="C239" s="55"/>
      <c r="D239" s="55"/>
      <c r="E239" s="93" t="s">
        <v>665</v>
      </c>
      <c r="F239" s="94"/>
      <c r="G239" s="94"/>
      <c r="H239" s="94"/>
      <c r="I239" s="94"/>
      <c r="J239" s="94"/>
      <c r="K239" s="94"/>
      <c r="L239" s="94"/>
      <c r="M239" s="94"/>
      <c r="N239" s="94"/>
      <c r="O239" s="94"/>
      <c r="P239" s="94"/>
      <c r="Q239" s="94"/>
      <c r="R239" s="94"/>
      <c r="S239" s="94"/>
      <c r="T239" s="95"/>
    </row>
    <row r="240" spans="1:20" s="45" customFormat="1">
      <c r="A240" s="55"/>
      <c r="B240" s="55"/>
      <c r="C240" s="55"/>
      <c r="D240" s="55"/>
      <c r="E240" s="46" t="s">
        <v>5</v>
      </c>
      <c r="F240" s="30" t="s">
        <v>6</v>
      </c>
      <c r="G240" s="30" t="s">
        <v>7</v>
      </c>
      <c r="H240" s="30" t="s">
        <v>6</v>
      </c>
      <c r="I240" s="30" t="s">
        <v>8</v>
      </c>
      <c r="J240" s="30" t="s">
        <v>6</v>
      </c>
      <c r="K240" s="30" t="s">
        <v>9</v>
      </c>
      <c r="L240" s="30" t="s">
        <v>6</v>
      </c>
      <c r="M240" s="30" t="s">
        <v>10</v>
      </c>
      <c r="N240" s="30" t="s">
        <v>6</v>
      </c>
      <c r="O240" s="30" t="s">
        <v>11</v>
      </c>
      <c r="P240" s="30" t="s">
        <v>6</v>
      </c>
      <c r="Q240" s="30" t="s">
        <v>12</v>
      </c>
      <c r="R240" s="30" t="s">
        <v>6</v>
      </c>
      <c r="S240" s="30" t="s">
        <v>13</v>
      </c>
      <c r="T240" s="50" t="s">
        <v>6</v>
      </c>
    </row>
    <row r="241" spans="1:20" s="45" customFormat="1" ht="171.6">
      <c r="A241" s="51" t="s">
        <v>1503</v>
      </c>
      <c r="B241" s="56">
        <v>3</v>
      </c>
      <c r="C241" s="56">
        <v>12</v>
      </c>
      <c r="D241" s="57">
        <v>20</v>
      </c>
      <c r="E241" s="29" t="s">
        <v>2200</v>
      </c>
      <c r="F241" s="26"/>
      <c r="G241" s="29" t="s">
        <v>2201</v>
      </c>
      <c r="H241" s="36" t="s">
        <v>2175</v>
      </c>
      <c r="I241" s="29" t="s">
        <v>2202</v>
      </c>
      <c r="J241" s="34"/>
      <c r="K241" s="29" t="s">
        <v>2203</v>
      </c>
      <c r="L241" s="26"/>
      <c r="M241" s="29" t="s">
        <v>2204</v>
      </c>
      <c r="N241" s="26" t="s">
        <v>2179</v>
      </c>
      <c r="O241" s="29" t="s">
        <v>2205</v>
      </c>
      <c r="P241" s="26"/>
      <c r="Q241" s="29" t="s">
        <v>128</v>
      </c>
      <c r="R241" s="26"/>
      <c r="S241" s="29" t="s">
        <v>2206</v>
      </c>
      <c r="T241" s="50"/>
    </row>
    <row r="242" spans="1:20" s="45" customFormat="1">
      <c r="A242" s="55"/>
      <c r="B242" s="55"/>
      <c r="C242" s="55"/>
      <c r="D242" s="55"/>
      <c r="E242" s="93" t="s">
        <v>665</v>
      </c>
      <c r="F242" s="94"/>
      <c r="G242" s="94"/>
      <c r="H242" s="94"/>
      <c r="I242" s="94"/>
      <c r="J242" s="94"/>
      <c r="K242" s="94"/>
      <c r="L242" s="94"/>
      <c r="M242" s="94"/>
      <c r="N242" s="94"/>
      <c r="O242" s="94"/>
      <c r="P242" s="94"/>
      <c r="Q242" s="94"/>
      <c r="R242" s="94"/>
      <c r="S242" s="94"/>
      <c r="T242" s="95"/>
    </row>
    <row r="243" spans="1:20" s="45" customFormat="1">
      <c r="A243" s="55"/>
      <c r="B243" s="55"/>
      <c r="C243" s="55"/>
      <c r="D243" s="55"/>
      <c r="E243" s="46" t="s">
        <v>5</v>
      </c>
      <c r="F243" s="30" t="s">
        <v>6</v>
      </c>
      <c r="G243" s="30" t="s">
        <v>7</v>
      </c>
      <c r="H243" s="30" t="s">
        <v>6</v>
      </c>
      <c r="I243" s="30" t="s">
        <v>8</v>
      </c>
      <c r="J243" s="30" t="s">
        <v>6</v>
      </c>
      <c r="K243" s="30" t="s">
        <v>9</v>
      </c>
      <c r="L243" s="30" t="s">
        <v>6</v>
      </c>
      <c r="M243" s="30" t="s">
        <v>10</v>
      </c>
      <c r="N243" s="30" t="s">
        <v>6</v>
      </c>
      <c r="O243" s="30" t="s">
        <v>11</v>
      </c>
      <c r="P243" s="30" t="s">
        <v>6</v>
      </c>
      <c r="Q243" s="30" t="s">
        <v>12</v>
      </c>
      <c r="R243" s="30" t="s">
        <v>6</v>
      </c>
      <c r="S243" s="30" t="s">
        <v>13</v>
      </c>
      <c r="T243" s="50" t="s">
        <v>6</v>
      </c>
    </row>
    <row r="244" spans="1:20" s="45" customFormat="1" ht="171.6">
      <c r="A244" s="51" t="s">
        <v>1503</v>
      </c>
      <c r="B244" s="56">
        <v>3</v>
      </c>
      <c r="C244" s="56">
        <v>12</v>
      </c>
      <c r="D244" s="57">
        <v>24</v>
      </c>
      <c r="E244" s="29" t="s">
        <v>2207</v>
      </c>
      <c r="F244" s="26"/>
      <c r="G244" s="29" t="s">
        <v>2208</v>
      </c>
      <c r="H244" s="36" t="s">
        <v>2175</v>
      </c>
      <c r="I244" s="29" t="s">
        <v>2193</v>
      </c>
      <c r="J244" s="34"/>
      <c r="K244" s="29" t="s">
        <v>2209</v>
      </c>
      <c r="L244" s="26"/>
      <c r="M244" s="29" t="s">
        <v>2210</v>
      </c>
      <c r="N244" s="26" t="s">
        <v>2211</v>
      </c>
      <c r="O244" s="29" t="s">
        <v>2212</v>
      </c>
      <c r="P244" s="26" t="s">
        <v>2213</v>
      </c>
      <c r="Q244" s="29" t="s">
        <v>128</v>
      </c>
      <c r="R244" s="26"/>
      <c r="S244" s="29" t="s">
        <v>2214</v>
      </c>
      <c r="T244" s="50"/>
    </row>
    <row r="245" spans="1:20" s="45" customFormat="1">
      <c r="A245" s="55"/>
      <c r="B245" s="55"/>
      <c r="C245" s="55"/>
      <c r="D245" s="55"/>
      <c r="E245" s="93" t="s">
        <v>665</v>
      </c>
      <c r="F245" s="94"/>
      <c r="G245" s="94"/>
      <c r="H245" s="94"/>
      <c r="I245" s="94"/>
      <c r="J245" s="94"/>
      <c r="K245" s="94"/>
      <c r="L245" s="94"/>
      <c r="M245" s="94"/>
      <c r="N245" s="94"/>
      <c r="O245" s="94"/>
      <c r="P245" s="94"/>
      <c r="Q245" s="94"/>
      <c r="R245" s="94"/>
      <c r="S245" s="94"/>
      <c r="T245" s="95"/>
    </row>
    <row r="246" spans="1:20" s="45" customFormat="1">
      <c r="A246" s="55"/>
      <c r="B246" s="55"/>
      <c r="C246" s="55"/>
      <c r="D246" s="55"/>
      <c r="E246" s="46" t="s">
        <v>5</v>
      </c>
      <c r="F246" s="30" t="s">
        <v>6</v>
      </c>
      <c r="G246" s="30" t="s">
        <v>7</v>
      </c>
      <c r="H246" s="30" t="s">
        <v>6</v>
      </c>
      <c r="I246" s="30" t="s">
        <v>8</v>
      </c>
      <c r="J246" s="30" t="s">
        <v>6</v>
      </c>
      <c r="K246" s="30" t="s">
        <v>9</v>
      </c>
      <c r="L246" s="30" t="s">
        <v>6</v>
      </c>
      <c r="M246" s="30" t="s">
        <v>10</v>
      </c>
      <c r="N246" s="30" t="s">
        <v>6</v>
      </c>
      <c r="O246" s="30" t="s">
        <v>11</v>
      </c>
      <c r="P246" s="30" t="s">
        <v>6</v>
      </c>
      <c r="Q246" s="30" t="s">
        <v>12</v>
      </c>
      <c r="R246" s="30" t="s">
        <v>6</v>
      </c>
      <c r="S246" s="30" t="s">
        <v>13</v>
      </c>
      <c r="T246" s="50" t="s">
        <v>6</v>
      </c>
    </row>
    <row r="247" spans="1:20" s="45" customFormat="1" ht="184.9">
      <c r="A247" s="51" t="s">
        <v>1503</v>
      </c>
      <c r="B247" s="56">
        <v>3</v>
      </c>
      <c r="C247" s="56">
        <v>12</v>
      </c>
      <c r="D247" s="57">
        <v>27</v>
      </c>
      <c r="E247" s="29" t="s">
        <v>2215</v>
      </c>
      <c r="F247" s="26"/>
      <c r="G247" s="29" t="s">
        <v>2216</v>
      </c>
      <c r="H247" s="36" t="s">
        <v>2175</v>
      </c>
      <c r="I247" s="29" t="s">
        <v>2193</v>
      </c>
      <c r="J247" s="34"/>
      <c r="K247" s="29" t="s">
        <v>2217</v>
      </c>
      <c r="L247" s="26"/>
      <c r="M247" s="29" t="s">
        <v>2218</v>
      </c>
      <c r="N247" s="26"/>
      <c r="O247" s="29" t="s">
        <v>2219</v>
      </c>
      <c r="P247" s="26"/>
      <c r="Q247" s="29" t="s">
        <v>128</v>
      </c>
      <c r="R247" s="26"/>
      <c r="S247" s="29" t="s">
        <v>2220</v>
      </c>
      <c r="T247" s="50"/>
    </row>
    <row r="248" spans="1:20" s="45" customFormat="1">
      <c r="A248" s="55"/>
      <c r="B248" s="55"/>
      <c r="C248" s="55"/>
      <c r="D248" s="55"/>
      <c r="E248" s="93" t="s">
        <v>716</v>
      </c>
      <c r="F248" s="94"/>
      <c r="G248" s="94"/>
      <c r="H248" s="94"/>
      <c r="I248" s="94"/>
      <c r="J248" s="94"/>
      <c r="K248" s="94"/>
      <c r="L248" s="94"/>
      <c r="M248" s="94"/>
      <c r="N248" s="94"/>
      <c r="O248" s="94"/>
      <c r="P248" s="94"/>
      <c r="Q248" s="94"/>
      <c r="R248" s="94"/>
      <c r="S248" s="94"/>
      <c r="T248" s="95"/>
    </row>
    <row r="249" spans="1:20" s="45" customFormat="1">
      <c r="A249" s="55"/>
      <c r="B249" s="55"/>
      <c r="C249" s="55"/>
      <c r="D249" s="55"/>
      <c r="E249" s="46" t="s">
        <v>5</v>
      </c>
      <c r="F249" s="30" t="s">
        <v>6</v>
      </c>
      <c r="G249" s="30" t="s">
        <v>7</v>
      </c>
      <c r="H249" s="30" t="s">
        <v>6</v>
      </c>
      <c r="I249" s="30" t="s">
        <v>8</v>
      </c>
      <c r="J249" s="30" t="s">
        <v>6</v>
      </c>
      <c r="K249" s="30" t="s">
        <v>9</v>
      </c>
      <c r="L249" s="30" t="s">
        <v>6</v>
      </c>
      <c r="M249" s="30" t="s">
        <v>10</v>
      </c>
      <c r="N249" s="30" t="s">
        <v>6</v>
      </c>
      <c r="O249" s="30" t="s">
        <v>11</v>
      </c>
      <c r="P249" s="30" t="s">
        <v>6</v>
      </c>
      <c r="Q249" s="30" t="s">
        <v>12</v>
      </c>
      <c r="R249" s="30" t="s">
        <v>6</v>
      </c>
      <c r="S249" s="30" t="s">
        <v>13</v>
      </c>
      <c r="T249" s="50" t="s">
        <v>6</v>
      </c>
    </row>
    <row r="250" spans="1:20" s="45" customFormat="1" ht="224.45">
      <c r="A250" s="51" t="s">
        <v>1503</v>
      </c>
      <c r="B250" s="56">
        <v>3</v>
      </c>
      <c r="C250" s="56">
        <v>13</v>
      </c>
      <c r="D250" s="57">
        <v>8</v>
      </c>
      <c r="E250" s="29" t="s">
        <v>2221</v>
      </c>
      <c r="F250" s="26" t="s">
        <v>19</v>
      </c>
      <c r="G250" s="29" t="s">
        <v>2222</v>
      </c>
      <c r="H250" s="26" t="s">
        <v>19</v>
      </c>
      <c r="I250" s="29" t="s">
        <v>2223</v>
      </c>
      <c r="J250" s="26" t="s">
        <v>19</v>
      </c>
      <c r="K250" s="29" t="s">
        <v>2224</v>
      </c>
      <c r="L250" s="26" t="s">
        <v>19</v>
      </c>
      <c r="M250" s="29" t="s">
        <v>2225</v>
      </c>
      <c r="N250" s="36" t="s">
        <v>2226</v>
      </c>
      <c r="O250" s="29" t="s">
        <v>2227</v>
      </c>
      <c r="P250" s="36" t="s">
        <v>2228</v>
      </c>
      <c r="Q250" s="29" t="s">
        <v>2229</v>
      </c>
      <c r="R250" s="26" t="s">
        <v>19</v>
      </c>
      <c r="S250" s="29" t="s">
        <v>2230</v>
      </c>
      <c r="T250" s="50"/>
    </row>
    <row r="251" spans="1:20" s="45" customFormat="1">
      <c r="A251" s="55"/>
      <c r="B251" s="55"/>
      <c r="C251" s="55"/>
      <c r="D251" s="55"/>
      <c r="E251" s="93" t="s">
        <v>716</v>
      </c>
      <c r="F251" s="94"/>
      <c r="G251" s="94"/>
      <c r="H251" s="94"/>
      <c r="I251" s="94"/>
      <c r="J251" s="94"/>
      <c r="K251" s="94"/>
      <c r="L251" s="94"/>
      <c r="M251" s="94"/>
      <c r="N251" s="94"/>
      <c r="O251" s="94"/>
      <c r="P251" s="94"/>
      <c r="Q251" s="94"/>
      <c r="R251" s="94"/>
      <c r="S251" s="94"/>
      <c r="T251" s="95"/>
    </row>
    <row r="252" spans="1:20" s="45" customFormat="1">
      <c r="A252" s="55"/>
      <c r="B252" s="55"/>
      <c r="C252" s="55"/>
      <c r="D252" s="55"/>
      <c r="E252" s="46" t="s">
        <v>5</v>
      </c>
      <c r="F252" s="30" t="s">
        <v>6</v>
      </c>
      <c r="G252" s="30" t="s">
        <v>7</v>
      </c>
      <c r="H252" s="30" t="s">
        <v>6</v>
      </c>
      <c r="I252" s="30" t="s">
        <v>8</v>
      </c>
      <c r="J252" s="30" t="s">
        <v>6</v>
      </c>
      <c r="K252" s="30" t="s">
        <v>9</v>
      </c>
      <c r="L252" s="30" t="s">
        <v>6</v>
      </c>
      <c r="M252" s="30" t="s">
        <v>10</v>
      </c>
      <c r="N252" s="30" t="s">
        <v>6</v>
      </c>
      <c r="O252" s="30" t="s">
        <v>11</v>
      </c>
      <c r="P252" s="30" t="s">
        <v>6</v>
      </c>
      <c r="Q252" s="30" t="s">
        <v>12</v>
      </c>
      <c r="R252" s="30" t="s">
        <v>6</v>
      </c>
      <c r="S252" s="30" t="s">
        <v>13</v>
      </c>
      <c r="T252" s="50" t="s">
        <v>6</v>
      </c>
    </row>
    <row r="253" spans="1:20" s="45" customFormat="1" ht="198">
      <c r="A253" s="51" t="s">
        <v>1503</v>
      </c>
      <c r="B253" s="56">
        <v>3</v>
      </c>
      <c r="C253" s="56">
        <v>13</v>
      </c>
      <c r="D253" s="57">
        <v>12</v>
      </c>
      <c r="E253" s="29" t="s">
        <v>2231</v>
      </c>
      <c r="F253" s="26" t="s">
        <v>19</v>
      </c>
      <c r="G253" s="29" t="s">
        <v>2232</v>
      </c>
      <c r="H253" s="26" t="s">
        <v>19</v>
      </c>
      <c r="I253" s="29" t="s">
        <v>2233</v>
      </c>
      <c r="J253" s="26" t="s">
        <v>19</v>
      </c>
      <c r="K253" s="29" t="s">
        <v>2234</v>
      </c>
      <c r="L253" s="26" t="s">
        <v>19</v>
      </c>
      <c r="M253" s="29" t="s">
        <v>2235</v>
      </c>
      <c r="N253" s="36" t="s">
        <v>2236</v>
      </c>
      <c r="O253" s="29" t="s">
        <v>2237</v>
      </c>
      <c r="P253" s="36" t="s">
        <v>2238</v>
      </c>
      <c r="Q253" s="29" t="s">
        <v>2239</v>
      </c>
      <c r="R253" s="26" t="s">
        <v>19</v>
      </c>
      <c r="S253" s="29" t="s">
        <v>2240</v>
      </c>
      <c r="T253" s="50"/>
    </row>
    <row r="254" spans="1:20" s="45" customFormat="1">
      <c r="A254" s="55"/>
      <c r="B254" s="55"/>
      <c r="C254" s="55"/>
      <c r="D254" s="55"/>
      <c r="E254" s="93" t="s">
        <v>716</v>
      </c>
      <c r="F254" s="94"/>
      <c r="G254" s="94"/>
      <c r="H254" s="94"/>
      <c r="I254" s="94"/>
      <c r="J254" s="94"/>
      <c r="K254" s="94"/>
      <c r="L254" s="94"/>
      <c r="M254" s="94"/>
      <c r="N254" s="94"/>
      <c r="O254" s="94"/>
      <c r="P254" s="94"/>
      <c r="Q254" s="94"/>
      <c r="R254" s="94"/>
      <c r="S254" s="94"/>
      <c r="T254" s="95"/>
    </row>
    <row r="255" spans="1:20" s="45" customFormat="1">
      <c r="A255" s="55"/>
      <c r="B255" s="55"/>
      <c r="C255" s="55"/>
      <c r="D255" s="55"/>
      <c r="E255" s="46" t="s">
        <v>5</v>
      </c>
      <c r="F255" s="30" t="s">
        <v>6</v>
      </c>
      <c r="G255" s="30" t="s">
        <v>7</v>
      </c>
      <c r="H255" s="30" t="s">
        <v>6</v>
      </c>
      <c r="I255" s="30" t="s">
        <v>8</v>
      </c>
      <c r="J255" s="30" t="s">
        <v>6</v>
      </c>
      <c r="K255" s="30" t="s">
        <v>9</v>
      </c>
      <c r="L255" s="30" t="s">
        <v>6</v>
      </c>
      <c r="M255" s="30" t="s">
        <v>10</v>
      </c>
      <c r="N255" s="30" t="s">
        <v>6</v>
      </c>
      <c r="O255" s="30" t="s">
        <v>11</v>
      </c>
      <c r="P255" s="30" t="s">
        <v>6</v>
      </c>
      <c r="Q255" s="30" t="s">
        <v>12</v>
      </c>
      <c r="R255" s="30" t="s">
        <v>6</v>
      </c>
      <c r="S255" s="30" t="s">
        <v>13</v>
      </c>
      <c r="T255" s="50" t="s">
        <v>6</v>
      </c>
    </row>
    <row r="256" spans="1:20" s="45" customFormat="1" ht="246.75" customHeight="1">
      <c r="A256" s="51" t="s">
        <v>1503</v>
      </c>
      <c r="B256" s="56">
        <v>3</v>
      </c>
      <c r="C256" s="56">
        <v>13</v>
      </c>
      <c r="D256" s="57">
        <v>14</v>
      </c>
      <c r="E256" s="29" t="s">
        <v>2241</v>
      </c>
      <c r="F256" s="26" t="s">
        <v>19</v>
      </c>
      <c r="G256" s="29" t="s">
        <v>2242</v>
      </c>
      <c r="H256" s="26" t="s">
        <v>19</v>
      </c>
      <c r="I256" s="29" t="s">
        <v>2233</v>
      </c>
      <c r="J256" s="26" t="s">
        <v>19</v>
      </c>
      <c r="K256" s="29" t="s">
        <v>2243</v>
      </c>
      <c r="L256" s="36" t="s">
        <v>2244</v>
      </c>
      <c r="M256" s="29" t="s">
        <v>2245</v>
      </c>
      <c r="N256" s="26" t="s">
        <v>19</v>
      </c>
      <c r="O256" s="29" t="s">
        <v>2246</v>
      </c>
      <c r="P256" s="36" t="s">
        <v>2247</v>
      </c>
      <c r="Q256" s="29" t="s">
        <v>2248</v>
      </c>
      <c r="R256" s="26" t="s">
        <v>19</v>
      </c>
      <c r="S256" s="29" t="s">
        <v>2249</v>
      </c>
      <c r="T256" s="50"/>
    </row>
    <row r="257" spans="1:20" s="45" customFormat="1">
      <c r="A257" s="55"/>
      <c r="B257" s="55"/>
      <c r="C257" s="55"/>
      <c r="D257" s="55"/>
      <c r="E257" s="93" t="s">
        <v>716</v>
      </c>
      <c r="F257" s="94"/>
      <c r="G257" s="94"/>
      <c r="H257" s="94"/>
      <c r="I257" s="94"/>
      <c r="J257" s="94"/>
      <c r="K257" s="94"/>
      <c r="L257" s="94"/>
      <c r="M257" s="94"/>
      <c r="N257" s="94"/>
      <c r="O257" s="94"/>
      <c r="P257" s="94"/>
      <c r="Q257" s="94"/>
      <c r="R257" s="94"/>
      <c r="S257" s="94"/>
      <c r="T257" s="95"/>
    </row>
    <row r="258" spans="1:20" s="45" customFormat="1">
      <c r="A258" s="55"/>
      <c r="B258" s="55"/>
      <c r="C258" s="55"/>
      <c r="D258" s="55"/>
      <c r="E258" s="46" t="s">
        <v>5</v>
      </c>
      <c r="F258" s="30" t="s">
        <v>6</v>
      </c>
      <c r="G258" s="30" t="s">
        <v>7</v>
      </c>
      <c r="H258" s="30" t="s">
        <v>6</v>
      </c>
      <c r="I258" s="30" t="s">
        <v>8</v>
      </c>
      <c r="J258" s="30" t="s">
        <v>6</v>
      </c>
      <c r="K258" s="30" t="s">
        <v>9</v>
      </c>
      <c r="L258" s="30" t="s">
        <v>6</v>
      </c>
      <c r="M258" s="30" t="s">
        <v>10</v>
      </c>
      <c r="N258" s="30" t="s">
        <v>6</v>
      </c>
      <c r="O258" s="30" t="s">
        <v>11</v>
      </c>
      <c r="P258" s="30" t="s">
        <v>6</v>
      </c>
      <c r="Q258" s="30" t="s">
        <v>12</v>
      </c>
      <c r="R258" s="30" t="s">
        <v>6</v>
      </c>
      <c r="S258" s="30" t="s">
        <v>13</v>
      </c>
      <c r="T258" s="50" t="s">
        <v>6</v>
      </c>
    </row>
    <row r="259" spans="1:20" s="45" customFormat="1" ht="184.9">
      <c r="A259" s="51" t="s">
        <v>1503</v>
      </c>
      <c r="B259" s="56">
        <v>3</v>
      </c>
      <c r="C259" s="56">
        <v>13</v>
      </c>
      <c r="D259" s="57">
        <v>19</v>
      </c>
      <c r="E259" s="29" t="s">
        <v>2250</v>
      </c>
      <c r="F259" s="26" t="s">
        <v>19</v>
      </c>
      <c r="G259" s="29" t="s">
        <v>2251</v>
      </c>
      <c r="H259" s="26" t="s">
        <v>19</v>
      </c>
      <c r="I259" s="29" t="s">
        <v>729</v>
      </c>
      <c r="J259" s="26" t="s">
        <v>19</v>
      </c>
      <c r="K259" s="29" t="s">
        <v>2252</v>
      </c>
      <c r="L259" s="36" t="s">
        <v>2253</v>
      </c>
      <c r="M259" s="29" t="s">
        <v>2254</v>
      </c>
      <c r="N259" s="26" t="s">
        <v>19</v>
      </c>
      <c r="O259" s="29" t="s">
        <v>2255</v>
      </c>
      <c r="P259" s="36" t="s">
        <v>2256</v>
      </c>
      <c r="Q259" s="29" t="s">
        <v>2257</v>
      </c>
      <c r="R259" s="26" t="s">
        <v>19</v>
      </c>
      <c r="S259" s="29" t="s">
        <v>2258</v>
      </c>
      <c r="T259" s="50"/>
    </row>
    <row r="260" spans="1:20" s="45" customFormat="1">
      <c r="A260" s="55"/>
      <c r="B260" s="55"/>
      <c r="C260" s="55"/>
      <c r="D260" s="55"/>
      <c r="E260" s="93" t="s">
        <v>716</v>
      </c>
      <c r="F260" s="94"/>
      <c r="G260" s="94"/>
      <c r="H260" s="94"/>
      <c r="I260" s="94"/>
      <c r="J260" s="94"/>
      <c r="K260" s="94"/>
      <c r="L260" s="94"/>
      <c r="M260" s="94"/>
      <c r="N260" s="94"/>
      <c r="O260" s="94"/>
      <c r="P260" s="94"/>
      <c r="Q260" s="94"/>
      <c r="R260" s="94"/>
      <c r="S260" s="94"/>
      <c r="T260" s="95"/>
    </row>
    <row r="261" spans="1:20" s="45" customFormat="1">
      <c r="A261" s="55"/>
      <c r="B261" s="55"/>
      <c r="C261" s="55"/>
      <c r="D261" s="55"/>
      <c r="E261" s="46" t="s">
        <v>5</v>
      </c>
      <c r="F261" s="30" t="s">
        <v>6</v>
      </c>
      <c r="G261" s="30" t="s">
        <v>7</v>
      </c>
      <c r="H261" s="30" t="s">
        <v>6</v>
      </c>
      <c r="I261" s="30" t="s">
        <v>8</v>
      </c>
      <c r="J261" s="30" t="s">
        <v>6</v>
      </c>
      <c r="K261" s="30" t="s">
        <v>9</v>
      </c>
      <c r="L261" s="30" t="s">
        <v>6</v>
      </c>
      <c r="M261" s="30" t="s">
        <v>10</v>
      </c>
      <c r="N261" s="30" t="s">
        <v>6</v>
      </c>
      <c r="O261" s="30" t="s">
        <v>11</v>
      </c>
      <c r="P261" s="30" t="s">
        <v>6</v>
      </c>
      <c r="Q261" s="30" t="s">
        <v>12</v>
      </c>
      <c r="R261" s="30" t="s">
        <v>6</v>
      </c>
      <c r="S261" s="30" t="s">
        <v>13</v>
      </c>
      <c r="T261" s="50" t="s">
        <v>6</v>
      </c>
    </row>
    <row r="262" spans="1:20" s="45" customFormat="1" ht="382.9">
      <c r="A262" s="51" t="s">
        <v>1503</v>
      </c>
      <c r="B262" s="56">
        <v>3</v>
      </c>
      <c r="C262" s="56">
        <v>13</v>
      </c>
      <c r="D262" s="57">
        <v>21</v>
      </c>
      <c r="E262" s="29" t="s">
        <v>2259</v>
      </c>
      <c r="F262" s="26" t="s">
        <v>19</v>
      </c>
      <c r="G262" s="29" t="s">
        <v>2260</v>
      </c>
      <c r="H262" s="26" t="s">
        <v>19</v>
      </c>
      <c r="I262" s="29" t="s">
        <v>2261</v>
      </c>
      <c r="J262" s="26" t="s">
        <v>19</v>
      </c>
      <c r="K262" s="29" t="s">
        <v>2262</v>
      </c>
      <c r="L262" s="26" t="s">
        <v>19</v>
      </c>
      <c r="M262" s="29" t="s">
        <v>2263</v>
      </c>
      <c r="N262" s="36" t="s">
        <v>2264</v>
      </c>
      <c r="O262" s="29" t="s">
        <v>2265</v>
      </c>
      <c r="P262" s="36" t="s">
        <v>2266</v>
      </c>
      <c r="Q262" s="29" t="s">
        <v>2267</v>
      </c>
      <c r="R262" s="26" t="s">
        <v>19</v>
      </c>
      <c r="S262" s="29" t="s">
        <v>2268</v>
      </c>
      <c r="T262" s="50"/>
    </row>
    <row r="263" spans="1:20" s="45" customFormat="1">
      <c r="A263" s="55"/>
      <c r="B263" s="55"/>
      <c r="C263" s="55"/>
      <c r="D263" s="55"/>
      <c r="E263" s="93" t="s">
        <v>716</v>
      </c>
      <c r="F263" s="94"/>
      <c r="G263" s="94"/>
      <c r="H263" s="94"/>
      <c r="I263" s="94"/>
      <c r="J263" s="94"/>
      <c r="K263" s="94"/>
      <c r="L263" s="94"/>
      <c r="M263" s="94"/>
      <c r="N263" s="94"/>
      <c r="O263" s="94"/>
      <c r="P263" s="94"/>
      <c r="Q263" s="94"/>
      <c r="R263" s="94"/>
      <c r="S263" s="94"/>
      <c r="T263" s="95"/>
    </row>
    <row r="264" spans="1:20" s="45" customFormat="1">
      <c r="A264" s="55"/>
      <c r="B264" s="55"/>
      <c r="C264" s="55"/>
      <c r="D264" s="55"/>
      <c r="E264" s="46" t="s">
        <v>5</v>
      </c>
      <c r="F264" s="30" t="s">
        <v>6</v>
      </c>
      <c r="G264" s="30" t="s">
        <v>7</v>
      </c>
      <c r="H264" s="30" t="s">
        <v>6</v>
      </c>
      <c r="I264" s="30" t="s">
        <v>8</v>
      </c>
      <c r="J264" s="30" t="s">
        <v>6</v>
      </c>
      <c r="K264" s="30" t="s">
        <v>9</v>
      </c>
      <c r="L264" s="30" t="s">
        <v>6</v>
      </c>
      <c r="M264" s="30" t="s">
        <v>10</v>
      </c>
      <c r="N264" s="30" t="s">
        <v>6</v>
      </c>
      <c r="O264" s="30" t="s">
        <v>11</v>
      </c>
      <c r="P264" s="30" t="s">
        <v>6</v>
      </c>
      <c r="Q264" s="30" t="s">
        <v>12</v>
      </c>
      <c r="R264" s="30" t="s">
        <v>6</v>
      </c>
      <c r="S264" s="30" t="s">
        <v>13</v>
      </c>
      <c r="T264" s="50" t="s">
        <v>6</v>
      </c>
    </row>
    <row r="265" spans="1:20" s="45" customFormat="1" ht="250.9">
      <c r="A265" s="51" t="s">
        <v>1503</v>
      </c>
      <c r="B265" s="56">
        <v>3</v>
      </c>
      <c r="C265" s="56">
        <v>13</v>
      </c>
      <c r="D265" s="57">
        <v>25</v>
      </c>
      <c r="E265" s="29" t="s">
        <v>2269</v>
      </c>
      <c r="F265" s="26" t="s">
        <v>19</v>
      </c>
      <c r="G265" s="29" t="s">
        <v>2270</v>
      </c>
      <c r="H265" s="26" t="s">
        <v>19</v>
      </c>
      <c r="I265" s="29" t="s">
        <v>2223</v>
      </c>
      <c r="J265" s="26" t="s">
        <v>19</v>
      </c>
      <c r="K265" s="29" t="s">
        <v>2271</v>
      </c>
      <c r="L265" s="26" t="s">
        <v>19</v>
      </c>
      <c r="M265" s="29" t="s">
        <v>2272</v>
      </c>
      <c r="N265" s="36" t="s">
        <v>2273</v>
      </c>
      <c r="O265" s="29" t="s">
        <v>2274</v>
      </c>
      <c r="P265" s="36" t="s">
        <v>2275</v>
      </c>
      <c r="Q265" s="29" t="s">
        <v>2276</v>
      </c>
      <c r="R265" s="26" t="s">
        <v>19</v>
      </c>
      <c r="S265" s="29" t="s">
        <v>2277</v>
      </c>
      <c r="T265" s="50"/>
    </row>
    <row r="266" spans="1:20" s="45" customFormat="1">
      <c r="A266" s="55"/>
      <c r="B266" s="55"/>
      <c r="C266" s="55"/>
      <c r="D266" s="55"/>
      <c r="E266" s="93" t="s">
        <v>716</v>
      </c>
      <c r="F266" s="94"/>
      <c r="G266" s="94"/>
      <c r="H266" s="94"/>
      <c r="I266" s="94"/>
      <c r="J266" s="94"/>
      <c r="K266" s="94"/>
      <c r="L266" s="94"/>
      <c r="M266" s="94"/>
      <c r="N266" s="94"/>
      <c r="O266" s="94"/>
      <c r="P266" s="94"/>
      <c r="Q266" s="94"/>
      <c r="R266" s="94"/>
      <c r="S266" s="94"/>
      <c r="T266" s="95"/>
    </row>
    <row r="267" spans="1:20" s="45" customFormat="1">
      <c r="A267" s="55"/>
      <c r="B267" s="55"/>
      <c r="C267" s="55"/>
      <c r="D267" s="55"/>
      <c r="E267" s="46" t="s">
        <v>5</v>
      </c>
      <c r="F267" s="30" t="s">
        <v>6</v>
      </c>
      <c r="G267" s="30" t="s">
        <v>7</v>
      </c>
      <c r="H267" s="30" t="s">
        <v>6</v>
      </c>
      <c r="I267" s="30" t="s">
        <v>8</v>
      </c>
      <c r="J267" s="30" t="s">
        <v>6</v>
      </c>
      <c r="K267" s="30" t="s">
        <v>9</v>
      </c>
      <c r="L267" s="30" t="s">
        <v>6</v>
      </c>
      <c r="M267" s="30" t="s">
        <v>10</v>
      </c>
      <c r="N267" s="30" t="s">
        <v>6</v>
      </c>
      <c r="O267" s="30" t="s">
        <v>11</v>
      </c>
      <c r="P267" s="30" t="s">
        <v>6</v>
      </c>
      <c r="Q267" s="30" t="s">
        <v>12</v>
      </c>
      <c r="R267" s="30" t="s">
        <v>6</v>
      </c>
      <c r="S267" s="30" t="s">
        <v>13</v>
      </c>
      <c r="T267" s="50" t="s">
        <v>6</v>
      </c>
    </row>
    <row r="268" spans="1:20" s="45" customFormat="1" ht="198">
      <c r="A268" s="51" t="s">
        <v>1503</v>
      </c>
      <c r="B268" s="56">
        <v>3</v>
      </c>
      <c r="C268" s="56">
        <v>13</v>
      </c>
      <c r="D268" s="57">
        <v>29</v>
      </c>
      <c r="E268" s="29" t="s">
        <v>2278</v>
      </c>
      <c r="F268" s="26" t="s">
        <v>19</v>
      </c>
      <c r="G268" s="29" t="s">
        <v>2279</v>
      </c>
      <c r="H268" s="26" t="s">
        <v>19</v>
      </c>
      <c r="I268" s="29" t="s">
        <v>2223</v>
      </c>
      <c r="J268" s="26" t="s">
        <v>19</v>
      </c>
      <c r="K268" s="29" t="s">
        <v>2280</v>
      </c>
      <c r="L268" s="36" t="s">
        <v>2281</v>
      </c>
      <c r="M268" s="29" t="s">
        <v>2282</v>
      </c>
      <c r="N268" s="36" t="s">
        <v>2283</v>
      </c>
      <c r="O268" s="29" t="s">
        <v>2284</v>
      </c>
      <c r="P268" s="36" t="s">
        <v>2285</v>
      </c>
      <c r="Q268" s="29" t="s">
        <v>2286</v>
      </c>
      <c r="R268" s="36" t="s">
        <v>2287</v>
      </c>
      <c r="S268" s="29" t="s">
        <v>2288</v>
      </c>
      <c r="T268" s="50"/>
    </row>
    <row r="269" spans="1:20" s="45" customFormat="1">
      <c r="A269" s="55"/>
      <c r="B269" s="55"/>
      <c r="C269" s="55"/>
      <c r="D269" s="55"/>
      <c r="E269" s="93" t="s">
        <v>716</v>
      </c>
      <c r="F269" s="94"/>
      <c r="G269" s="94"/>
      <c r="H269" s="94"/>
      <c r="I269" s="94"/>
      <c r="J269" s="94"/>
      <c r="K269" s="94"/>
      <c r="L269" s="94"/>
      <c r="M269" s="94"/>
      <c r="N269" s="94"/>
      <c r="O269" s="94"/>
      <c r="P269" s="94"/>
      <c r="Q269" s="94"/>
      <c r="R269" s="94"/>
      <c r="S269" s="94"/>
      <c r="T269" s="95"/>
    </row>
    <row r="270" spans="1:20" s="45" customFormat="1">
      <c r="A270" s="55"/>
      <c r="B270" s="55"/>
      <c r="C270" s="55"/>
      <c r="D270" s="55"/>
      <c r="E270" s="46" t="s">
        <v>5</v>
      </c>
      <c r="F270" s="30" t="s">
        <v>6</v>
      </c>
      <c r="G270" s="30" t="s">
        <v>7</v>
      </c>
      <c r="H270" s="30" t="s">
        <v>6</v>
      </c>
      <c r="I270" s="30" t="s">
        <v>8</v>
      </c>
      <c r="J270" s="30" t="s">
        <v>6</v>
      </c>
      <c r="K270" s="30" t="s">
        <v>9</v>
      </c>
      <c r="L270" s="30" t="s">
        <v>6</v>
      </c>
      <c r="M270" s="30" t="s">
        <v>10</v>
      </c>
      <c r="N270" s="30" t="s">
        <v>6</v>
      </c>
      <c r="O270" s="30" t="s">
        <v>11</v>
      </c>
      <c r="P270" s="30" t="s">
        <v>6</v>
      </c>
      <c r="Q270" s="30" t="s">
        <v>12</v>
      </c>
      <c r="R270" s="30" t="s">
        <v>6</v>
      </c>
      <c r="S270" s="30" t="s">
        <v>13</v>
      </c>
      <c r="T270" s="50" t="s">
        <v>6</v>
      </c>
    </row>
    <row r="271" spans="1:20" s="45" customFormat="1" ht="199.5" customHeight="1">
      <c r="A271" s="51" t="s">
        <v>1503</v>
      </c>
      <c r="B271" s="56">
        <v>3</v>
      </c>
      <c r="C271" s="56">
        <v>13</v>
      </c>
      <c r="D271" s="57">
        <v>30</v>
      </c>
      <c r="E271" s="29" t="s">
        <v>2289</v>
      </c>
      <c r="F271" s="36" t="s">
        <v>2290</v>
      </c>
      <c r="G271" s="29" t="s">
        <v>2291</v>
      </c>
      <c r="H271" s="36" t="s">
        <v>2290</v>
      </c>
      <c r="I271" s="29" t="s">
        <v>2233</v>
      </c>
      <c r="J271" s="26" t="s">
        <v>19</v>
      </c>
      <c r="K271" s="29" t="s">
        <v>2292</v>
      </c>
      <c r="L271" s="37" t="s">
        <v>2293</v>
      </c>
      <c r="M271" s="29" t="s">
        <v>2294</v>
      </c>
      <c r="N271" s="36" t="s">
        <v>2295</v>
      </c>
      <c r="O271" s="29" t="s">
        <v>2296</v>
      </c>
      <c r="P271" s="36" t="s">
        <v>2297</v>
      </c>
      <c r="Q271" s="29" t="s">
        <v>2298</v>
      </c>
      <c r="R271" s="26" t="s">
        <v>19</v>
      </c>
      <c r="S271" s="29"/>
      <c r="T271" s="50"/>
    </row>
  </sheetData>
  <autoFilter ref="A1:T271" xr:uid="{123817EE-8F9C-4AAF-A07D-FB3AEC90F19E}"/>
  <mergeCells count="89">
    <mergeCell ref="E17:T17"/>
    <mergeCell ref="E2:T2"/>
    <mergeCell ref="E5:T5"/>
    <mergeCell ref="E8:T8"/>
    <mergeCell ref="E11:T11"/>
    <mergeCell ref="E14:T14"/>
    <mergeCell ref="E56:T56"/>
    <mergeCell ref="E20:T20"/>
    <mergeCell ref="E26:T26"/>
    <mergeCell ref="E29:T29"/>
    <mergeCell ref="E32:T32"/>
    <mergeCell ref="E35:T35"/>
    <mergeCell ref="E38:T38"/>
    <mergeCell ref="E41:T41"/>
    <mergeCell ref="E44:T44"/>
    <mergeCell ref="E47:T47"/>
    <mergeCell ref="E50:T50"/>
    <mergeCell ref="E53:T53"/>
    <mergeCell ref="E95:T95"/>
    <mergeCell ref="E62:T62"/>
    <mergeCell ref="E65:T65"/>
    <mergeCell ref="E68:T68"/>
    <mergeCell ref="E71:T71"/>
    <mergeCell ref="E74:T74"/>
    <mergeCell ref="E77:T77"/>
    <mergeCell ref="E80:T80"/>
    <mergeCell ref="E83:T83"/>
    <mergeCell ref="E86:T86"/>
    <mergeCell ref="E89:T89"/>
    <mergeCell ref="E92:T92"/>
    <mergeCell ref="E131:T131"/>
    <mergeCell ref="E98:T98"/>
    <mergeCell ref="E101:T101"/>
    <mergeCell ref="E104:T104"/>
    <mergeCell ref="E107:T107"/>
    <mergeCell ref="E110:T110"/>
    <mergeCell ref="E113:T113"/>
    <mergeCell ref="E116:T116"/>
    <mergeCell ref="E119:T119"/>
    <mergeCell ref="E122:T122"/>
    <mergeCell ref="E125:T125"/>
    <mergeCell ref="E128:T128"/>
    <mergeCell ref="E167:T167"/>
    <mergeCell ref="E134:T134"/>
    <mergeCell ref="E137:T137"/>
    <mergeCell ref="E140:T140"/>
    <mergeCell ref="E143:T143"/>
    <mergeCell ref="E146:T146"/>
    <mergeCell ref="E149:T149"/>
    <mergeCell ref="E152:T152"/>
    <mergeCell ref="E155:T155"/>
    <mergeCell ref="E158:T158"/>
    <mergeCell ref="E161:T161"/>
    <mergeCell ref="E164:T164"/>
    <mergeCell ref="E194:T194"/>
    <mergeCell ref="E197:T197"/>
    <mergeCell ref="E200:T200"/>
    <mergeCell ref="E218:T218"/>
    <mergeCell ref="E221:T221"/>
    <mergeCell ref="E179:T179"/>
    <mergeCell ref="E182:T182"/>
    <mergeCell ref="E185:T185"/>
    <mergeCell ref="E188:T188"/>
    <mergeCell ref="E191:T191"/>
    <mergeCell ref="E224:T224"/>
    <mergeCell ref="E227:T227"/>
    <mergeCell ref="E230:T230"/>
    <mergeCell ref="E59:T59"/>
    <mergeCell ref="E260:T260"/>
    <mergeCell ref="E239:T239"/>
    <mergeCell ref="E206:T206"/>
    <mergeCell ref="E209:T209"/>
    <mergeCell ref="E212:T212"/>
    <mergeCell ref="E215:T215"/>
    <mergeCell ref="E233:T233"/>
    <mergeCell ref="E236:T236"/>
    <mergeCell ref="E203:T203"/>
    <mergeCell ref="E170:T170"/>
    <mergeCell ref="E173:T173"/>
    <mergeCell ref="E176:T176"/>
    <mergeCell ref="E263:T263"/>
    <mergeCell ref="E266:T266"/>
    <mergeCell ref="E269:T269"/>
    <mergeCell ref="E242:T242"/>
    <mergeCell ref="E245:T245"/>
    <mergeCell ref="E248:T248"/>
    <mergeCell ref="E251:T251"/>
    <mergeCell ref="E254:T254"/>
    <mergeCell ref="E257:T25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E377-492D-4A64-BD56-415602B2B92E}">
  <dimension ref="A1:W33"/>
  <sheetViews>
    <sheetView workbookViewId="0">
      <selection activeCell="N18" sqref="N18"/>
    </sheetView>
  </sheetViews>
  <sheetFormatPr defaultRowHeight="13.9"/>
  <cols>
    <col min="10" max="10" width="10.42578125" customWidth="1"/>
    <col min="15" max="15" width="10" customWidth="1"/>
    <col min="18" max="18" width="9.7109375" customWidth="1"/>
    <col min="21" max="21" width="11.140625" customWidth="1"/>
    <col min="23" max="23" width="19.28515625" customWidth="1"/>
  </cols>
  <sheetData>
    <row r="1" spans="1:23">
      <c r="B1" s="99" t="s">
        <v>2299</v>
      </c>
      <c r="C1" s="100"/>
      <c r="D1" s="101"/>
      <c r="E1" s="99" t="s">
        <v>2300</v>
      </c>
      <c r="F1" s="100"/>
      <c r="G1" s="101"/>
      <c r="H1" s="99" t="s">
        <v>1503</v>
      </c>
      <c r="I1" s="100"/>
      <c r="J1" s="101"/>
      <c r="M1" s="99" t="s">
        <v>2299</v>
      </c>
      <c r="N1" s="100"/>
      <c r="O1" s="101"/>
      <c r="P1" s="99" t="s">
        <v>2300</v>
      </c>
      <c r="Q1" s="100"/>
      <c r="R1" s="101"/>
      <c r="S1" s="99" t="s">
        <v>1503</v>
      </c>
      <c r="T1" s="100"/>
      <c r="U1" s="101"/>
    </row>
    <row r="2" spans="1:23">
      <c r="A2" s="82" t="s">
        <v>3</v>
      </c>
      <c r="B2" s="70" t="s">
        <v>2301</v>
      </c>
      <c r="C2" s="69" t="s">
        <v>2302</v>
      </c>
      <c r="D2" s="70" t="s">
        <v>2303</v>
      </c>
      <c r="E2" s="70" t="s">
        <v>2301</v>
      </c>
      <c r="F2" s="69" t="s">
        <v>2302</v>
      </c>
      <c r="G2" s="70" t="s">
        <v>2303</v>
      </c>
      <c r="H2" s="70" t="s">
        <v>2301</v>
      </c>
      <c r="I2" s="69" t="s">
        <v>2302</v>
      </c>
      <c r="J2" s="70" t="s">
        <v>2303</v>
      </c>
      <c r="L2" s="82" t="s">
        <v>2304</v>
      </c>
      <c r="M2" s="70" t="s">
        <v>2301</v>
      </c>
      <c r="N2" s="69" t="s">
        <v>2302</v>
      </c>
      <c r="O2" s="70" t="s">
        <v>2303</v>
      </c>
      <c r="P2" s="70" t="s">
        <v>2301</v>
      </c>
      <c r="Q2" s="69" t="s">
        <v>2302</v>
      </c>
      <c r="R2" s="70" t="s">
        <v>2303</v>
      </c>
      <c r="S2" s="70" t="s">
        <v>2301</v>
      </c>
      <c r="T2" s="69" t="s">
        <v>2302</v>
      </c>
      <c r="U2" s="70" t="s">
        <v>2303</v>
      </c>
    </row>
    <row r="3" spans="1:23">
      <c r="A3" s="77">
        <v>1</v>
      </c>
      <c r="B3" s="77">
        <v>17</v>
      </c>
      <c r="C3">
        <v>1</v>
      </c>
      <c r="D3">
        <v>3</v>
      </c>
      <c r="E3" s="77">
        <v>15</v>
      </c>
      <c r="F3">
        <v>2</v>
      </c>
      <c r="G3">
        <v>4</v>
      </c>
      <c r="H3" s="77">
        <v>11</v>
      </c>
      <c r="I3">
        <v>6</v>
      </c>
      <c r="J3" s="80">
        <v>4</v>
      </c>
      <c r="L3" s="77">
        <v>1</v>
      </c>
      <c r="M3" s="77">
        <v>128</v>
      </c>
      <c r="N3">
        <v>38</v>
      </c>
      <c r="O3">
        <v>14</v>
      </c>
      <c r="P3" s="77">
        <v>130</v>
      </c>
      <c r="Q3">
        <v>43</v>
      </c>
      <c r="R3">
        <v>7</v>
      </c>
      <c r="S3" s="77">
        <v>112</v>
      </c>
      <c r="T3">
        <v>61</v>
      </c>
      <c r="U3" s="80">
        <v>7</v>
      </c>
    </row>
    <row r="4" spans="1:23">
      <c r="A4" s="77">
        <v>2</v>
      </c>
      <c r="B4" s="77">
        <v>19</v>
      </c>
      <c r="C4">
        <v>1</v>
      </c>
      <c r="D4">
        <v>1</v>
      </c>
      <c r="E4" s="77">
        <v>15</v>
      </c>
      <c r="F4">
        <v>6</v>
      </c>
      <c r="G4">
        <v>0</v>
      </c>
      <c r="H4" s="77">
        <v>11</v>
      </c>
      <c r="I4">
        <v>5</v>
      </c>
      <c r="J4" s="80">
        <v>5</v>
      </c>
      <c r="L4" s="77">
        <v>2</v>
      </c>
      <c r="M4" s="77">
        <v>65</v>
      </c>
      <c r="N4">
        <v>15</v>
      </c>
      <c r="O4">
        <v>10</v>
      </c>
      <c r="P4" s="77">
        <v>63</v>
      </c>
      <c r="Q4">
        <v>22</v>
      </c>
      <c r="R4">
        <v>5</v>
      </c>
      <c r="S4" s="77">
        <v>68</v>
      </c>
      <c r="T4">
        <v>8</v>
      </c>
      <c r="U4" s="80">
        <v>14</v>
      </c>
    </row>
    <row r="5" spans="1:23">
      <c r="A5" s="85">
        <v>3</v>
      </c>
      <c r="B5" s="77">
        <v>17</v>
      </c>
      <c r="C5">
        <v>3</v>
      </c>
      <c r="D5">
        <v>1</v>
      </c>
      <c r="E5" s="77">
        <v>12</v>
      </c>
      <c r="F5">
        <v>7</v>
      </c>
      <c r="G5">
        <v>2</v>
      </c>
      <c r="H5" s="77">
        <v>13</v>
      </c>
      <c r="I5">
        <v>6</v>
      </c>
      <c r="J5" s="80">
        <v>2</v>
      </c>
      <c r="L5" s="77">
        <v>3</v>
      </c>
      <c r="M5" s="77">
        <v>72</v>
      </c>
      <c r="N5">
        <v>14</v>
      </c>
      <c r="O5">
        <v>4</v>
      </c>
      <c r="P5" s="77">
        <v>67</v>
      </c>
      <c r="Q5">
        <v>20</v>
      </c>
      <c r="R5">
        <v>3</v>
      </c>
      <c r="S5" s="77">
        <v>55</v>
      </c>
      <c r="T5">
        <v>31</v>
      </c>
      <c r="U5" s="80">
        <v>4</v>
      </c>
    </row>
    <row r="6" spans="1:23">
      <c r="A6" s="85">
        <v>4</v>
      </c>
      <c r="B6" s="77">
        <v>12</v>
      </c>
      <c r="C6">
        <v>8</v>
      </c>
      <c r="D6">
        <v>1</v>
      </c>
      <c r="E6" s="77">
        <v>14</v>
      </c>
      <c r="F6">
        <v>6</v>
      </c>
      <c r="G6">
        <v>1</v>
      </c>
      <c r="H6" s="77">
        <v>17</v>
      </c>
      <c r="I6">
        <v>3</v>
      </c>
      <c r="J6" s="80">
        <v>1</v>
      </c>
      <c r="L6" s="77">
        <v>4</v>
      </c>
      <c r="M6" s="77">
        <v>67</v>
      </c>
      <c r="N6">
        <v>18</v>
      </c>
      <c r="O6">
        <v>5</v>
      </c>
      <c r="P6" s="77">
        <v>68</v>
      </c>
      <c r="Q6">
        <v>20</v>
      </c>
      <c r="R6">
        <v>2</v>
      </c>
      <c r="S6" s="77">
        <v>73</v>
      </c>
      <c r="T6">
        <v>16</v>
      </c>
      <c r="U6" s="80">
        <v>1</v>
      </c>
    </row>
    <row r="7" spans="1:23">
      <c r="A7" s="85">
        <v>5</v>
      </c>
      <c r="B7" s="77">
        <v>18</v>
      </c>
      <c r="C7">
        <v>0</v>
      </c>
      <c r="D7">
        <v>3</v>
      </c>
      <c r="E7" s="77">
        <v>17</v>
      </c>
      <c r="F7">
        <v>3</v>
      </c>
      <c r="G7">
        <v>1</v>
      </c>
      <c r="H7" s="77">
        <v>10</v>
      </c>
      <c r="I7">
        <v>8</v>
      </c>
      <c r="J7" s="80">
        <v>3</v>
      </c>
      <c r="L7" s="77">
        <v>5</v>
      </c>
      <c r="M7" s="77">
        <v>68</v>
      </c>
      <c r="N7">
        <v>15</v>
      </c>
      <c r="O7">
        <v>7</v>
      </c>
      <c r="P7" s="77">
        <v>76</v>
      </c>
      <c r="Q7">
        <v>10</v>
      </c>
      <c r="R7">
        <v>4</v>
      </c>
      <c r="S7" s="77">
        <v>58</v>
      </c>
      <c r="T7">
        <v>27</v>
      </c>
      <c r="U7" s="80">
        <v>5</v>
      </c>
    </row>
    <row r="8" spans="1:23">
      <c r="A8" s="85">
        <v>6</v>
      </c>
      <c r="B8" s="77">
        <v>17</v>
      </c>
      <c r="C8">
        <v>3</v>
      </c>
      <c r="D8">
        <v>1</v>
      </c>
      <c r="E8" s="77">
        <v>16</v>
      </c>
      <c r="F8">
        <v>4</v>
      </c>
      <c r="G8">
        <v>1</v>
      </c>
      <c r="H8" s="77">
        <v>11</v>
      </c>
      <c r="I8">
        <v>8</v>
      </c>
      <c r="J8" s="80">
        <v>2</v>
      </c>
      <c r="L8" s="78">
        <v>6</v>
      </c>
      <c r="M8" s="78">
        <v>52</v>
      </c>
      <c r="N8" s="79">
        <v>13</v>
      </c>
      <c r="O8" s="79">
        <v>25</v>
      </c>
      <c r="P8" s="78">
        <v>40</v>
      </c>
      <c r="Q8" s="79">
        <v>28</v>
      </c>
      <c r="R8" s="79">
        <v>22</v>
      </c>
      <c r="S8" s="78">
        <v>51</v>
      </c>
      <c r="T8" s="79">
        <v>13</v>
      </c>
      <c r="U8" s="81">
        <v>26</v>
      </c>
    </row>
    <row r="9" spans="1:23">
      <c r="A9" s="77">
        <v>7</v>
      </c>
      <c r="B9" s="77">
        <v>18</v>
      </c>
      <c r="C9">
        <v>2</v>
      </c>
      <c r="D9">
        <v>1</v>
      </c>
      <c r="E9" s="77">
        <v>16</v>
      </c>
      <c r="F9">
        <v>5</v>
      </c>
      <c r="G9">
        <v>0</v>
      </c>
      <c r="H9" s="77">
        <v>14</v>
      </c>
      <c r="I9">
        <v>6</v>
      </c>
      <c r="J9" s="80">
        <v>1</v>
      </c>
      <c r="M9">
        <f t="shared" ref="M9:U9" si="0">SUM(M3:M8)</f>
        <v>452</v>
      </c>
      <c r="N9">
        <f t="shared" si="0"/>
        <v>113</v>
      </c>
      <c r="O9">
        <f t="shared" si="0"/>
        <v>65</v>
      </c>
      <c r="P9">
        <f t="shared" si="0"/>
        <v>444</v>
      </c>
      <c r="Q9">
        <f t="shared" si="0"/>
        <v>143</v>
      </c>
      <c r="R9">
        <f t="shared" si="0"/>
        <v>43</v>
      </c>
      <c r="S9">
        <f t="shared" si="0"/>
        <v>417</v>
      </c>
      <c r="T9">
        <f t="shared" si="0"/>
        <v>156</v>
      </c>
      <c r="U9">
        <f t="shared" si="0"/>
        <v>57</v>
      </c>
    </row>
    <row r="10" spans="1:23">
      <c r="A10" s="77">
        <v>8</v>
      </c>
      <c r="B10" s="77">
        <v>13</v>
      </c>
      <c r="C10">
        <v>8</v>
      </c>
      <c r="D10">
        <v>0</v>
      </c>
      <c r="E10" s="77">
        <v>15</v>
      </c>
      <c r="F10">
        <v>6</v>
      </c>
      <c r="G10">
        <v>0</v>
      </c>
      <c r="H10" s="77">
        <v>12</v>
      </c>
      <c r="I10">
        <v>8</v>
      </c>
      <c r="J10" s="80">
        <v>1</v>
      </c>
    </row>
    <row r="11" spans="1:23">
      <c r="A11" s="77">
        <v>9</v>
      </c>
      <c r="B11" s="77">
        <v>15</v>
      </c>
      <c r="C11">
        <v>2</v>
      </c>
      <c r="D11">
        <v>4</v>
      </c>
      <c r="E11" s="77">
        <v>16</v>
      </c>
      <c r="F11">
        <v>3</v>
      </c>
      <c r="G11">
        <v>2</v>
      </c>
      <c r="H11" s="77">
        <v>13</v>
      </c>
      <c r="I11">
        <v>6</v>
      </c>
      <c r="J11" s="80">
        <v>2</v>
      </c>
      <c r="W11">
        <f>CHITEST(M3:O8,S3:U8)</f>
        <v>4.8469140619657007E-10</v>
      </c>
    </row>
    <row r="12" spans="1:23">
      <c r="A12" s="77">
        <v>10</v>
      </c>
      <c r="B12" s="77">
        <v>16</v>
      </c>
      <c r="C12">
        <v>2</v>
      </c>
      <c r="D12">
        <v>3</v>
      </c>
      <c r="E12" s="77">
        <v>14</v>
      </c>
      <c r="F12">
        <v>4</v>
      </c>
      <c r="G12">
        <v>3</v>
      </c>
      <c r="H12" s="77">
        <v>15</v>
      </c>
      <c r="I12">
        <v>4</v>
      </c>
      <c r="J12" s="80">
        <v>2</v>
      </c>
    </row>
    <row r="13" spans="1:23">
      <c r="A13" s="77">
        <v>11</v>
      </c>
      <c r="B13" s="77">
        <v>18</v>
      </c>
      <c r="C13">
        <v>3</v>
      </c>
      <c r="D13">
        <v>0</v>
      </c>
      <c r="E13" s="77">
        <v>17</v>
      </c>
      <c r="F13">
        <v>2</v>
      </c>
      <c r="G13">
        <v>2</v>
      </c>
      <c r="H13" s="77">
        <v>15</v>
      </c>
      <c r="I13">
        <v>4</v>
      </c>
      <c r="J13" s="80">
        <v>2</v>
      </c>
    </row>
    <row r="14" spans="1:23">
      <c r="A14" s="77">
        <v>12</v>
      </c>
      <c r="B14" s="77">
        <v>19</v>
      </c>
      <c r="C14">
        <v>2</v>
      </c>
      <c r="D14">
        <v>0</v>
      </c>
      <c r="E14" s="77">
        <v>17</v>
      </c>
      <c r="F14">
        <v>3</v>
      </c>
      <c r="G14">
        <v>1</v>
      </c>
      <c r="H14" s="77">
        <v>18</v>
      </c>
      <c r="I14">
        <v>2</v>
      </c>
      <c r="J14" s="80">
        <v>1</v>
      </c>
    </row>
    <row r="15" spans="1:23">
      <c r="A15" s="77">
        <v>13</v>
      </c>
      <c r="B15" s="77">
        <v>11</v>
      </c>
      <c r="C15">
        <v>7</v>
      </c>
      <c r="D15">
        <v>3</v>
      </c>
      <c r="E15" s="77">
        <v>13</v>
      </c>
      <c r="F15">
        <v>6</v>
      </c>
      <c r="G15">
        <v>2</v>
      </c>
      <c r="H15" s="77">
        <v>15</v>
      </c>
      <c r="I15">
        <v>5</v>
      </c>
      <c r="J15" s="80">
        <v>1</v>
      </c>
    </row>
    <row r="16" spans="1:23">
      <c r="A16" s="77">
        <v>14</v>
      </c>
      <c r="B16" s="77">
        <v>17</v>
      </c>
      <c r="C16">
        <v>4</v>
      </c>
      <c r="D16">
        <v>0</v>
      </c>
      <c r="E16" s="77">
        <v>16</v>
      </c>
      <c r="F16">
        <v>3</v>
      </c>
      <c r="G16">
        <v>2</v>
      </c>
      <c r="H16" s="77">
        <v>16</v>
      </c>
      <c r="I16">
        <v>3</v>
      </c>
      <c r="J16" s="80">
        <v>2</v>
      </c>
    </row>
    <row r="17" spans="1:10">
      <c r="A17" s="77">
        <v>15</v>
      </c>
      <c r="B17" s="77">
        <v>18</v>
      </c>
      <c r="C17">
        <v>2</v>
      </c>
      <c r="D17">
        <v>1</v>
      </c>
      <c r="E17" s="77">
        <v>13</v>
      </c>
      <c r="F17">
        <v>8</v>
      </c>
      <c r="G17">
        <v>0</v>
      </c>
      <c r="H17" s="77">
        <v>13</v>
      </c>
      <c r="I17">
        <v>6</v>
      </c>
      <c r="J17" s="80">
        <v>2</v>
      </c>
    </row>
    <row r="18" spans="1:10">
      <c r="A18" s="77">
        <v>16</v>
      </c>
      <c r="B18" s="77">
        <v>14</v>
      </c>
      <c r="C18">
        <v>6</v>
      </c>
      <c r="D18">
        <v>1</v>
      </c>
      <c r="E18" s="77">
        <v>16</v>
      </c>
      <c r="F18">
        <v>4</v>
      </c>
      <c r="G18">
        <v>1</v>
      </c>
      <c r="H18" s="77">
        <v>14</v>
      </c>
      <c r="I18">
        <v>6</v>
      </c>
      <c r="J18" s="80">
        <v>1</v>
      </c>
    </row>
    <row r="19" spans="1:10">
      <c r="A19" s="77">
        <v>17</v>
      </c>
      <c r="B19" s="77">
        <v>18</v>
      </c>
      <c r="C19">
        <v>1</v>
      </c>
      <c r="D19">
        <v>2</v>
      </c>
      <c r="E19" s="77">
        <v>17</v>
      </c>
      <c r="F19">
        <v>3</v>
      </c>
      <c r="G19">
        <v>1</v>
      </c>
      <c r="H19" s="77">
        <v>15</v>
      </c>
      <c r="I19">
        <v>4</v>
      </c>
      <c r="J19" s="80">
        <v>2</v>
      </c>
    </row>
    <row r="20" spans="1:10">
      <c r="A20" s="77">
        <v>18</v>
      </c>
      <c r="B20" s="77">
        <v>15</v>
      </c>
      <c r="C20">
        <v>3</v>
      </c>
      <c r="D20">
        <v>3</v>
      </c>
      <c r="E20" s="77">
        <v>15</v>
      </c>
      <c r="F20">
        <v>4</v>
      </c>
      <c r="G20">
        <v>2</v>
      </c>
      <c r="H20" s="77">
        <v>10</v>
      </c>
      <c r="I20">
        <v>7</v>
      </c>
      <c r="J20" s="80">
        <v>4</v>
      </c>
    </row>
    <row r="21" spans="1:10">
      <c r="A21" s="77">
        <v>19</v>
      </c>
      <c r="B21" s="77">
        <v>13</v>
      </c>
      <c r="C21">
        <v>6</v>
      </c>
      <c r="D21">
        <v>2</v>
      </c>
      <c r="E21" s="77">
        <v>13</v>
      </c>
      <c r="F21">
        <v>6</v>
      </c>
      <c r="G21">
        <v>2</v>
      </c>
      <c r="H21" s="77">
        <v>9</v>
      </c>
      <c r="I21">
        <v>9</v>
      </c>
      <c r="J21" s="80">
        <v>3</v>
      </c>
    </row>
    <row r="22" spans="1:10">
      <c r="A22" s="77">
        <v>20</v>
      </c>
      <c r="B22" s="77">
        <v>16</v>
      </c>
      <c r="C22">
        <v>3</v>
      </c>
      <c r="D22">
        <v>2</v>
      </c>
      <c r="E22" s="77">
        <v>15</v>
      </c>
      <c r="F22">
        <v>5</v>
      </c>
      <c r="G22">
        <v>1</v>
      </c>
      <c r="H22" s="77">
        <v>17</v>
      </c>
      <c r="I22">
        <v>2</v>
      </c>
      <c r="J22" s="80">
        <v>2</v>
      </c>
    </row>
    <row r="23" spans="1:10">
      <c r="A23" s="77">
        <v>21</v>
      </c>
      <c r="B23" s="77">
        <v>16</v>
      </c>
      <c r="C23">
        <v>3</v>
      </c>
      <c r="D23">
        <v>2</v>
      </c>
      <c r="E23" s="77">
        <v>11</v>
      </c>
      <c r="F23">
        <v>9</v>
      </c>
      <c r="G23">
        <v>1</v>
      </c>
      <c r="H23" s="77">
        <v>16</v>
      </c>
      <c r="I23">
        <v>4</v>
      </c>
      <c r="J23" s="80">
        <v>1</v>
      </c>
    </row>
    <row r="24" spans="1:10">
      <c r="A24" s="77">
        <v>22</v>
      </c>
      <c r="B24" s="77">
        <v>16</v>
      </c>
      <c r="C24">
        <v>4</v>
      </c>
      <c r="D24">
        <v>1</v>
      </c>
      <c r="E24" s="77">
        <v>16</v>
      </c>
      <c r="F24">
        <v>3</v>
      </c>
      <c r="G24">
        <v>2</v>
      </c>
      <c r="H24" s="77">
        <v>16</v>
      </c>
      <c r="I24">
        <v>3</v>
      </c>
      <c r="J24" s="80">
        <v>2</v>
      </c>
    </row>
    <row r="25" spans="1:10">
      <c r="A25" s="77">
        <v>23</v>
      </c>
      <c r="B25" s="77">
        <v>18</v>
      </c>
      <c r="C25">
        <v>2</v>
      </c>
      <c r="D25">
        <v>1</v>
      </c>
      <c r="E25" s="77">
        <v>18</v>
      </c>
      <c r="F25">
        <v>2</v>
      </c>
      <c r="G25">
        <v>1</v>
      </c>
      <c r="H25" s="77">
        <v>14</v>
      </c>
      <c r="I25">
        <v>4</v>
      </c>
      <c r="J25" s="80">
        <v>3</v>
      </c>
    </row>
    <row r="26" spans="1:10">
      <c r="A26" s="77">
        <v>24</v>
      </c>
      <c r="B26" s="77">
        <v>14</v>
      </c>
      <c r="C26">
        <v>5</v>
      </c>
      <c r="D26">
        <v>2</v>
      </c>
      <c r="E26" s="77">
        <v>13</v>
      </c>
      <c r="F26">
        <v>5</v>
      </c>
      <c r="G26">
        <v>3</v>
      </c>
      <c r="H26" s="77">
        <v>15</v>
      </c>
      <c r="I26">
        <v>4</v>
      </c>
      <c r="J26" s="80">
        <v>2</v>
      </c>
    </row>
    <row r="27" spans="1:10">
      <c r="A27" s="77">
        <v>25</v>
      </c>
      <c r="B27" s="77">
        <v>16</v>
      </c>
      <c r="C27">
        <v>5</v>
      </c>
      <c r="D27">
        <v>0</v>
      </c>
      <c r="E27" s="77">
        <v>16</v>
      </c>
      <c r="F27">
        <v>5</v>
      </c>
      <c r="G27">
        <v>0</v>
      </c>
      <c r="H27" s="77">
        <v>16</v>
      </c>
      <c r="I27">
        <v>5</v>
      </c>
      <c r="J27" s="80">
        <v>0</v>
      </c>
    </row>
    <row r="28" spans="1:10">
      <c r="A28" s="77">
        <v>26</v>
      </c>
      <c r="B28" s="77">
        <v>13</v>
      </c>
      <c r="C28">
        <v>6</v>
      </c>
      <c r="D28">
        <v>2</v>
      </c>
      <c r="E28" s="77">
        <v>12</v>
      </c>
      <c r="F28">
        <v>7</v>
      </c>
      <c r="G28">
        <v>2</v>
      </c>
      <c r="H28" s="77">
        <v>15</v>
      </c>
      <c r="I28">
        <v>4</v>
      </c>
      <c r="J28" s="80">
        <v>2</v>
      </c>
    </row>
    <row r="29" spans="1:10">
      <c r="A29" s="77">
        <v>27</v>
      </c>
      <c r="B29" s="77">
        <v>13</v>
      </c>
      <c r="C29">
        <v>4</v>
      </c>
      <c r="D29">
        <v>4</v>
      </c>
      <c r="E29" s="86">
        <v>14</v>
      </c>
      <c r="F29" s="45">
        <v>4</v>
      </c>
      <c r="G29" s="45">
        <v>3</v>
      </c>
      <c r="H29" s="77">
        <v>19</v>
      </c>
      <c r="I29">
        <v>1</v>
      </c>
      <c r="J29" s="80">
        <v>1</v>
      </c>
    </row>
    <row r="30" spans="1:10">
      <c r="A30" s="77">
        <v>28</v>
      </c>
      <c r="B30" s="77">
        <v>11</v>
      </c>
      <c r="C30">
        <v>6</v>
      </c>
      <c r="D30">
        <v>4</v>
      </c>
      <c r="E30" s="77">
        <v>14</v>
      </c>
      <c r="F30">
        <v>7</v>
      </c>
      <c r="G30">
        <v>0</v>
      </c>
      <c r="H30" s="77">
        <v>13</v>
      </c>
      <c r="I30">
        <v>7</v>
      </c>
      <c r="J30" s="80">
        <v>1</v>
      </c>
    </row>
    <row r="31" spans="1:10">
      <c r="A31" s="77">
        <v>29</v>
      </c>
      <c r="B31" s="77">
        <v>10</v>
      </c>
      <c r="C31">
        <v>6</v>
      </c>
      <c r="D31">
        <v>5</v>
      </c>
      <c r="E31" s="77">
        <v>14</v>
      </c>
      <c r="F31">
        <v>7</v>
      </c>
      <c r="G31">
        <v>0</v>
      </c>
      <c r="H31" s="77">
        <v>10</v>
      </c>
      <c r="I31">
        <v>9</v>
      </c>
      <c r="J31" s="80">
        <v>2</v>
      </c>
    </row>
    <row r="32" spans="1:10">
      <c r="A32" s="78">
        <v>30</v>
      </c>
      <c r="B32" s="78">
        <v>4</v>
      </c>
      <c r="C32" s="79">
        <v>5</v>
      </c>
      <c r="D32" s="79">
        <v>12</v>
      </c>
      <c r="E32" s="78">
        <v>14</v>
      </c>
      <c r="F32" s="79">
        <v>4</v>
      </c>
      <c r="G32" s="79">
        <v>3</v>
      </c>
      <c r="H32" s="78">
        <v>14</v>
      </c>
      <c r="I32" s="79">
        <v>7</v>
      </c>
      <c r="J32" s="81">
        <v>0</v>
      </c>
    </row>
    <row r="33" spans="1:10">
      <c r="A33" s="83" t="s">
        <v>2305</v>
      </c>
      <c r="B33" s="83">
        <f t="shared" ref="B33:J33" si="1">SUM(B3:B32)</f>
        <v>452</v>
      </c>
      <c r="C33" s="83">
        <f t="shared" si="1"/>
        <v>113</v>
      </c>
      <c r="D33" s="83">
        <f t="shared" si="1"/>
        <v>65</v>
      </c>
      <c r="E33" s="83">
        <f t="shared" si="1"/>
        <v>444</v>
      </c>
      <c r="F33" s="83">
        <f t="shared" si="1"/>
        <v>143</v>
      </c>
      <c r="G33" s="83">
        <f t="shared" si="1"/>
        <v>43</v>
      </c>
      <c r="H33" s="83">
        <f t="shared" si="1"/>
        <v>417</v>
      </c>
      <c r="I33" s="83">
        <f t="shared" si="1"/>
        <v>156</v>
      </c>
      <c r="J33" s="83">
        <f t="shared" si="1"/>
        <v>57</v>
      </c>
    </row>
  </sheetData>
  <mergeCells count="6">
    <mergeCell ref="S1:U1"/>
    <mergeCell ref="B1:D1"/>
    <mergeCell ref="E1:G1"/>
    <mergeCell ref="H1:J1"/>
    <mergeCell ref="M1:O1"/>
    <mergeCell ref="P1:R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f6c878-4953-46e3-80e3-a1ae46647632">
      <Terms xmlns="http://schemas.microsoft.com/office/infopath/2007/PartnerControls"/>
    </lcf76f155ced4ddcb4097134ff3c332f>
    <TaxCatchAll xmlns="591ceb5d-c622-49df-821b-00c50c9c27d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4789E4417C47546AF62F66CEBC6C7FB" ma:contentTypeVersion="11" ma:contentTypeDescription="Crie um novo documento." ma:contentTypeScope="" ma:versionID="c52bf4760279499224155681bc571fc5">
  <xsd:schema xmlns:xsd="http://www.w3.org/2001/XMLSchema" xmlns:xs="http://www.w3.org/2001/XMLSchema" xmlns:p="http://schemas.microsoft.com/office/2006/metadata/properties" xmlns:ns2="5ff6c878-4953-46e3-80e3-a1ae46647632" xmlns:ns3="591ceb5d-c622-49df-821b-00c50c9c27d7" targetNamespace="http://schemas.microsoft.com/office/2006/metadata/properties" ma:root="true" ma:fieldsID="ce65886884b975f0b1f49f908dc59180" ns2:_="" ns3:_="">
    <xsd:import namespace="5ff6c878-4953-46e3-80e3-a1ae46647632"/>
    <xsd:import namespace="591ceb5d-c622-49df-821b-00c50c9c27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6c878-4953-46e3-80e3-a1ae466476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3c1f837b-9003-4ae4-92fc-ab83554533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91ceb5d-c622-49df-821b-00c50c9c27d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00e0f4f-0510-4195-926f-63692b54afb4}" ma:internalName="TaxCatchAll" ma:showField="CatchAllData" ma:web="591ceb5d-c622-49df-821b-00c50c9c27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C4553A-8B83-4035-8B82-B53BF36042EF}"/>
</file>

<file path=customXml/itemProps2.xml><?xml version="1.0" encoding="utf-8"?>
<ds:datastoreItem xmlns:ds="http://schemas.openxmlformats.org/officeDocument/2006/customXml" ds:itemID="{29517114-0121-4B7C-97F7-8D7D1705B82C}"/>
</file>

<file path=customXml/itemProps3.xml><?xml version="1.0" encoding="utf-8"?>
<ds:datastoreItem xmlns:ds="http://schemas.openxmlformats.org/officeDocument/2006/customXml" ds:itemID="{12780D16-1BD9-4BD6-98DF-329187DA02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Guilherme Rouver</cp:lastModifiedBy>
  <cp:revision/>
  <dcterms:created xsi:type="dcterms:W3CDTF">2025-09-04T15:04:32Z</dcterms:created>
  <dcterms:modified xsi:type="dcterms:W3CDTF">2025-11-13T17:42:17Z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0x01010074789E4417C47546AF62F66CEBC6C7FB</vt:lpwstr>
  </property>
</Properties>
</file>